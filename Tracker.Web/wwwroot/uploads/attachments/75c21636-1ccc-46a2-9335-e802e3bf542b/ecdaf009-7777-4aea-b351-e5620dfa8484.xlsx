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imation Matrix" sheetId="1" state="visible" r:id="rId3"/>
    <sheet name="Project Type Presets" sheetId="2" state="visible" r:id="rId4"/>
    <sheet name="Effort Breakdown" sheetId="3" state="visible" r:id="rId5"/>
    <sheet name="Document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<sst xmlns="http://schemas.openxmlformats.org/spreadsheetml/2006/main" count="358" uniqueCount="300">
  <si>
    <t xml:space="preserve">DESKTOP/CLIENT APPLICATION UPGRADE - ESTIMATION RUBRIC</t>
  </si>
  <si>
    <t xml:space="preserve">Instructions: Select complexity level (1-5) for each attribute. Yellow cells are inputs. Effort hours auto-calculate based on Base Hours × Conversion Factor.</t>
  </si>
  <si>
    <t xml:space="preserve">Category</t>
  </si>
  <si>
    <t xml:space="preserve">Attribute</t>
  </si>
  <si>
    <t xml:space="preserve">Description</t>
  </si>
  <si>
    <t xml:space="preserve">Low (1)</t>
  </si>
  <si>
    <t xml:space="preserve">Medium (3)</t>
  </si>
  <si>
    <t xml:space="preserve">High (5)</t>
  </si>
  <si>
    <t xml:space="preserve">Selection
(1-5)</t>
  </si>
  <si>
    <t xml:space="preserve">Base Hours
(Industry Std)</t>
  </si>
  <si>
    <t xml:space="preserve">Conversion
Factor</t>
  </si>
  <si>
    <t xml:space="preserve">Effort
(Hrs)</t>
  </si>
  <si>
    <t xml:space="preserve">Weighted
Effort (Hrs)</t>
  </si>
  <si>
    <t xml:space="preserve">Scope</t>
  </si>
  <si>
    <t xml:space="preserve">Workstation Count</t>
  </si>
  <si>
    <t xml:space="preserve">Number of workstations/endpoints</t>
  </si>
  <si>
    <t xml:space="preserve">1-25 workstations</t>
  </si>
  <si>
    <t xml:space="preserve">26-100 workstations</t>
  </si>
  <si>
    <t xml:space="preserve">101+ workstations</t>
  </si>
  <si>
    <t xml:space="preserve">Application Type</t>
  </si>
  <si>
    <t xml:space="preserve">Type of client application</t>
  </si>
  <si>
    <t xml:space="preserve">Standalone tool</t>
  </si>
  <si>
    <t xml:space="preserve">Client with server dependency</t>
  </si>
  <si>
    <t xml:space="preserve">Thick client (heavy server integration)</t>
  </si>
  <si>
    <t xml:space="preserve">User Population</t>
  </si>
  <si>
    <t xml:space="preserve">Types of users affected</t>
  </si>
  <si>
    <t xml:space="preserve">IT/technical users only</t>
  </si>
  <si>
    <t xml:space="preserve">Single department</t>
  </si>
  <si>
    <t xml:space="preserve">Multiple departments/enterprise-wide</t>
  </si>
  <si>
    <t xml:space="preserve">Geographic Distribution</t>
  </si>
  <si>
    <t xml:space="preserve">Location of workstations</t>
  </si>
  <si>
    <t xml:space="preserve">Single site</t>
  </si>
  <si>
    <t xml:space="preserve">Multiple sites, same timezone</t>
  </si>
  <si>
    <t xml:space="preserve">Multiple sites, global distribution</t>
  </si>
  <si>
    <t xml:space="preserve">Environment Coverage</t>
  </si>
  <si>
    <t xml:space="preserve">Environments to upgrade</t>
  </si>
  <si>
    <t xml:space="preserve">Production only</t>
  </si>
  <si>
    <t xml:space="preserve">Test + Production</t>
  </si>
  <si>
    <t xml:space="preserve">Dev + Test + UAT + Production</t>
  </si>
  <si>
    <t xml:space="preserve">Client-Server</t>
  </si>
  <si>
    <t xml:space="preserve">Server Version Dependency</t>
  </si>
  <si>
    <t xml:space="preserve">Client-server version coupling</t>
  </si>
  <si>
    <t xml:space="preserve">Client version independent</t>
  </si>
  <si>
    <t xml:space="preserve">Must match major version</t>
  </si>
  <si>
    <t xml:space="preserve">Must match exact version</t>
  </si>
  <si>
    <t xml:space="preserve">Protocol/API Compatibility</t>
  </si>
  <si>
    <t xml:space="preserve">Communication protocol changes</t>
  </si>
  <si>
    <t xml:space="preserve">No protocol changes</t>
  </si>
  <si>
    <t xml:space="preserve">Minor protocol updates</t>
  </si>
  <si>
    <t xml:space="preserve">Major protocol/API changes</t>
  </si>
  <si>
    <t xml:space="preserve">Backward Compatibility</t>
  </si>
  <si>
    <t xml:space="preserve">Old client support during rollout</t>
  </si>
  <si>
    <t xml:space="preserve">Server supports old + new clients</t>
  </si>
  <si>
    <t xml:space="preserve">Limited backward compatibility</t>
  </si>
  <si>
    <t xml:space="preserve">No backward compatibility (big bang)</t>
  </si>
  <si>
    <t xml:space="preserve">Connection String/Config</t>
  </si>
  <si>
    <t xml:space="preserve">Server connection configuration</t>
  </si>
  <si>
    <t xml:space="preserve">No config changes</t>
  </si>
  <si>
    <t xml:space="preserve">Minor config updates</t>
  </si>
  <si>
    <t xml:space="preserve">Major connection reconfiguration</t>
  </si>
  <si>
    <t xml:space="preserve">Authentication Changes</t>
  </si>
  <si>
    <t xml:space="preserve">Auth mechanism changes</t>
  </si>
  <si>
    <t xml:space="preserve">No auth changes</t>
  </si>
  <si>
    <t xml:space="preserve">Token/credential refresh</t>
  </si>
  <si>
    <t xml:space="preserve">New auth method (SSO, MFA)</t>
  </si>
  <si>
    <t xml:space="preserve">Client Application</t>
  </si>
  <si>
    <t xml:space="preserve">Version Jump</t>
  </si>
  <si>
    <t xml:space="preserve">Gap between current and target</t>
  </si>
  <si>
    <t xml:space="preserve">Minor version (N.x to N.y)</t>
  </si>
  <si>
    <t xml:space="preserve">Major version (N to N+1)</t>
  </si>
  <si>
    <t xml:space="preserve">Multi-major jump (N to N+2+)</t>
  </si>
  <si>
    <t xml:space="preserve">Installation Complexity</t>
  </si>
  <si>
    <t xml:space="preserve">Install/upgrade process</t>
  </si>
  <si>
    <t xml:space="preserve">Silent install, no interaction</t>
  </si>
  <si>
    <t xml:space="preserve">Some user interaction needed</t>
  </si>
  <si>
    <t xml:space="preserve">Complex multi-step installation</t>
  </si>
  <si>
    <t xml:space="preserve">Local Data Migration</t>
  </si>
  <si>
    <t xml:space="preserve">User data/settings migration</t>
  </si>
  <si>
    <t xml:space="preserve">Auto-migrated by installer</t>
  </si>
  <si>
    <t xml:space="preserve">Manual export/import needed</t>
  </si>
  <si>
    <t xml:space="preserve">Complex data transformation</t>
  </si>
  <si>
    <t xml:space="preserve">User Profile Impact</t>
  </si>
  <si>
    <t xml:space="preserve">Windows profile/AppData changes</t>
  </si>
  <si>
    <t xml:space="preserve">No profile impact</t>
  </si>
  <si>
    <t xml:space="preserve">Settings reset/reconfiguration</t>
  </si>
  <si>
    <t xml:space="preserve">Profile rebuild required</t>
  </si>
  <si>
    <t xml:space="preserve">Prerequisite Changes</t>
  </si>
  <si>
    <t xml:space="preserve">Runtime/.NET/Java requirements</t>
  </si>
  <si>
    <t xml:space="preserve">Same prerequisites</t>
  </si>
  <si>
    <t xml:space="preserve">Minor updates (auto-install)</t>
  </si>
  <si>
    <t xml:space="preserve">Major new prerequisites</t>
  </si>
  <si>
    <t xml:space="preserve">Deployment Target</t>
  </si>
  <si>
    <t xml:space="preserve">Deployment Target Complexity</t>
  </si>
  <si>
    <t xml:space="preserve">Uniformity of target environment</t>
  </si>
  <si>
    <t xml:space="preserve">Single target type (all VDI or all physical, uniform)</t>
  </si>
  <si>
    <t xml:space="preserve">Mixed (VDI + physical, or 2-3 configs)</t>
  </si>
  <si>
    <t xml:space="preserve">Highly diverse (multiple VDI pools + physical + varied configs)</t>
  </si>
  <si>
    <t xml:space="preserve">Hardware Compatibility</t>
  </si>
  <si>
    <t xml:space="preserve">Do existing targets meet requirements</t>
  </si>
  <si>
    <t xml:space="preserve">All targets meet requirements</t>
  </si>
  <si>
    <t xml:space="preserve">80-95% meet requirements, exceptions manageable</t>
  </si>
  <si>
    <t xml:space="preserve">&lt;80% meet requirements, blocked until resolved</t>
  </si>
  <si>
    <t xml:space="preserve">OS Compatibility</t>
  </si>
  <si>
    <t xml:space="preserve">Windows/OS version support</t>
  </si>
  <si>
    <t xml:space="preserve">All current OS supported</t>
  </si>
  <si>
    <t xml:space="preserve">Some OS versions need updates</t>
  </si>
  <si>
    <t xml:space="preserve">OS upgrade required first</t>
  </si>
  <si>
    <t xml:space="preserve">VDI Image Management</t>
  </si>
  <si>
    <t xml:space="preserve">Golden image updates (N/A=1 for physical)</t>
  </si>
  <si>
    <t xml:space="preserve">N/A or single image update</t>
  </si>
  <si>
    <t xml:space="preserve">2-3 image variants to update</t>
  </si>
  <si>
    <t xml:space="preserve">4+ image variants or complex layering</t>
  </si>
  <si>
    <t xml:space="preserve">Deployment</t>
  </si>
  <si>
    <t xml:space="preserve">Deployment Method</t>
  </si>
  <si>
    <t xml:space="preserve">How clients will be deployed</t>
  </si>
  <si>
    <t xml:space="preserve">SCCM/Intune automated</t>
  </si>
  <si>
    <t xml:space="preserve">GPO/scripted deployment</t>
  </si>
  <si>
    <t xml:space="preserve">Manual installation</t>
  </si>
  <si>
    <t xml:space="preserve">Deployment Waves</t>
  </si>
  <si>
    <t xml:space="preserve">Rollout approach</t>
  </si>
  <si>
    <t xml:space="preserve">Single wave (all at once)</t>
  </si>
  <si>
    <t xml:space="preserve">2-3 waves (pilot → production)</t>
  </si>
  <si>
    <t xml:space="preserve">4+ waves (gradual rollout)</t>
  </si>
  <si>
    <t xml:space="preserve">User Downtime</t>
  </si>
  <si>
    <t xml:space="preserve">User impact during install</t>
  </si>
  <si>
    <t xml:space="preserve">Background install, no downtime</t>
  </si>
  <si>
    <t xml:space="preserve">Brief downtime (&lt; 30 min)</t>
  </si>
  <si>
    <t xml:space="preserve">Extended downtime (&gt; 30 min)</t>
  </si>
  <si>
    <t xml:space="preserve">Self-Service Option</t>
  </si>
  <si>
    <t xml:space="preserve">User-initiated install available</t>
  </si>
  <si>
    <t xml:space="preserve">Fully self-service</t>
  </si>
  <si>
    <t xml:space="preserve">IT-assisted self-service</t>
  </si>
  <si>
    <t xml:space="preserve">IT must perform install</t>
  </si>
  <si>
    <t xml:space="preserve">Uninstall Old Version</t>
  </si>
  <si>
    <t xml:space="preserve">Old version removal</t>
  </si>
  <si>
    <t xml:space="preserve">Auto-uninstall by new installer</t>
  </si>
  <si>
    <t xml:space="preserve">Separate uninstall step</t>
  </si>
  <si>
    <t xml:space="preserve">Manual cleanup required</t>
  </si>
  <si>
    <t xml:space="preserve">Licensing</t>
  </si>
  <si>
    <t xml:space="preserve">License Model Change</t>
  </si>
  <si>
    <t xml:space="preserve">Licensing changes</t>
  </si>
  <si>
    <t xml:space="preserve">Same license model</t>
  </si>
  <si>
    <t xml:space="preserve">License key/activation update</t>
  </si>
  <si>
    <t xml:space="preserve">New license model (subscription, etc.)</t>
  </si>
  <si>
    <t xml:space="preserve">License Count</t>
  </si>
  <si>
    <t xml:space="preserve">License availability</t>
  </si>
  <si>
    <t xml:space="preserve">Sufficient licenses</t>
  </si>
  <si>
    <t xml:space="preserve">Need true-up/additional</t>
  </si>
  <si>
    <t xml:space="preserve">Major license procurement</t>
  </si>
  <si>
    <t xml:space="preserve">License Server Impact</t>
  </si>
  <si>
    <t xml:space="preserve">License server changes</t>
  </si>
  <si>
    <t xml:space="preserve">No license server</t>
  </si>
  <si>
    <t xml:space="preserve">License server update needed</t>
  </si>
  <si>
    <t xml:space="preserve">New license server required</t>
  </si>
  <si>
    <t xml:space="preserve">Testing</t>
  </si>
  <si>
    <t xml:space="preserve">Test Environment</t>
  </si>
  <si>
    <t xml:space="preserve">Client test environment</t>
  </si>
  <si>
    <t xml:space="preserve">Dedicated test workstations/VDI</t>
  </si>
  <si>
    <t xml:space="preserve">Limited test environment</t>
  </si>
  <si>
    <t xml:space="preserve">No test environment (prod pilot)</t>
  </si>
  <si>
    <t xml:space="preserve">Functional Testing</t>
  </si>
  <si>
    <t xml:space="preserve">Application functionality testing</t>
  </si>
  <si>
    <t xml:space="preserve">Smoke test sufficient</t>
  </si>
  <si>
    <t xml:space="preserve">Key workflow validation</t>
  </si>
  <si>
    <t xml:space="preserve">Full regression testing</t>
  </si>
  <si>
    <t xml:space="preserve">Server Integration Testing</t>
  </si>
  <si>
    <t xml:space="preserve">Client-server integration tests</t>
  </si>
  <si>
    <t xml:space="preserve">Basic connectivity test</t>
  </si>
  <si>
    <t xml:space="preserve">Transaction/workflow testing</t>
  </si>
  <si>
    <t xml:space="preserve">Full end-to-end testing</t>
  </si>
  <si>
    <t xml:space="preserve">User Acceptance Testing</t>
  </si>
  <si>
    <t xml:space="preserve">UAT scope</t>
  </si>
  <si>
    <t xml:space="preserve">IT validation only</t>
  </si>
  <si>
    <t xml:space="preserve">Power user UAT</t>
  </si>
  <si>
    <t xml:space="preserve">Business-wide UAT</t>
  </si>
  <si>
    <t xml:space="preserve">Change Mgmt</t>
  </si>
  <si>
    <t xml:space="preserve">Change Approval Process</t>
  </si>
  <si>
    <t xml:space="preserve">CAB/approval overhead</t>
  </si>
  <si>
    <t xml:space="preserve">Pre-approved standard change</t>
  </si>
  <si>
    <t xml:space="preserve">Normal change (CAB review)</t>
  </si>
  <si>
    <t xml:space="preserve">Emergency/expedited change</t>
  </si>
  <si>
    <t xml:space="preserve">User Communication</t>
  </si>
  <si>
    <t xml:space="preserve">End-user notification</t>
  </si>
  <si>
    <t xml:space="preserve">Email notification</t>
  </si>
  <si>
    <t xml:space="preserve">Training documentation</t>
  </si>
  <si>
    <t xml:space="preserve">Hands-on training required</t>
  </si>
  <si>
    <t xml:space="preserve">Help Desk Preparation</t>
  </si>
  <si>
    <t xml:space="preserve">Support team readiness</t>
  </si>
  <si>
    <t xml:space="preserve">Minor FAQ update</t>
  </si>
  <si>
    <t xml:space="preserve">Help desk training needed</t>
  </si>
  <si>
    <t xml:space="preserve">Dedicated support during rollout</t>
  </si>
  <si>
    <t xml:space="preserve">Stakeholder Coordination</t>
  </si>
  <si>
    <t xml:space="preserve">Teams to coordinate</t>
  </si>
  <si>
    <t xml:space="preserve">1-2 teams</t>
  </si>
  <si>
    <t xml:space="preserve">3-5 teams</t>
  </si>
  <si>
    <t xml:space="preserve">6+ teams / external parties</t>
  </si>
  <si>
    <t xml:space="preserve">Risk</t>
  </si>
  <si>
    <t xml:space="preserve">Rollback Capability</t>
  </si>
  <si>
    <t xml:space="preserve">Ability to revert to old client</t>
  </si>
  <si>
    <t xml:space="preserve">Side-by-side or VDI image revert</t>
  </si>
  <si>
    <t xml:space="preserve">Uninstall/reinstall old version</t>
  </si>
  <si>
    <t xml:space="preserve">No rollback possible</t>
  </si>
  <si>
    <t xml:space="preserve">Business Criticality</t>
  </si>
  <si>
    <t xml:space="preserve">Application importance</t>
  </si>
  <si>
    <t xml:space="preserve">Convenience tool</t>
  </si>
  <si>
    <t xml:space="preserve">Business important</t>
  </si>
  <si>
    <t xml:space="preserve">Mission critical</t>
  </si>
  <si>
    <t xml:space="preserve">Rollout Timeline</t>
  </si>
  <si>
    <t xml:space="preserve">Deadline pressure</t>
  </si>
  <si>
    <t xml:space="preserve">Flexible (&gt; 30 days)</t>
  </si>
  <si>
    <t xml:space="preserve">Standard (14-30 days)</t>
  </si>
  <si>
    <t xml:space="preserve">Urgent (&lt; 14 days)</t>
  </si>
  <si>
    <t xml:space="preserve">ESTIMATION SUMMARY</t>
  </si>
  <si>
    <t xml:space="preserve">Total Base Hours (reference):</t>
  </si>
  <si>
    <t xml:space="preserve">Total Estimated Effort (Hours):</t>
  </si>
  <si>
    <t xml:space="preserve">Contingency % (input):</t>
  </si>
  <si>
    <t xml:space="preserve">Total with Contingency (Hours):</t>
  </si>
  <si>
    <t xml:space="preserve">Estimated Days (8 hr/day):</t>
  </si>
  <si>
    <t xml:space="preserve">DESKTOP/CLIENT APPLICATION UPGRADE - PROJECT TYPE PRESETS</t>
  </si>
  <si>
    <t xml:space="preserve">Heavy Manufacturing Enterprise. Green=Low (1-2), Yellow=Medium (3), Red=High (4-5). Use as starting point.</t>
  </si>
  <si>
    <t xml:space="preserve">ERP
Client</t>
  </si>
  <si>
    <t xml:space="preserve">PLM/PDM
Client</t>
  </si>
  <si>
    <t xml:space="preserve">CAD/CAM
Client</t>
  </si>
  <si>
    <t xml:space="preserve">MES/Shop
Floor Client</t>
  </si>
  <si>
    <t xml:space="preserve">Quality/
Compliance</t>
  </si>
  <si>
    <t xml:space="preserve">Admin/IT
Tools</t>
  </si>
  <si>
    <t xml:space="preserve">DETAILED EFFORT BREAKDOWN BY PHASE</t>
  </si>
  <si>
    <t xml:space="preserve">Total Hours (from Matrix):</t>
  </si>
  <si>
    <t xml:space="preserve">Phase</t>
  </si>
  <si>
    <t xml:space="preserve">Task Category</t>
  </si>
  <si>
    <t xml:space="preserve">Typical %</t>
  </si>
  <si>
    <t xml:space="preserve">Est. Hours</t>
  </si>
  <si>
    <t xml:space="preserve">Notes</t>
  </si>
  <si>
    <t xml:space="preserve">1. Planning</t>
  </si>
  <si>
    <t xml:space="preserve">Compatibility assessment</t>
  </si>
  <si>
    <t xml:space="preserve">Server dependency analysis</t>
  </si>
  <si>
    <t xml:space="preserve">Target environment audit</t>
  </si>
  <si>
    <t xml:space="preserve">Deployment strategy</t>
  </si>
  <si>
    <t xml:space="preserve">Change request submission</t>
  </si>
  <si>
    <t xml:space="preserve">2. Preparation</t>
  </si>
  <si>
    <t xml:space="preserve">Package creation/testing</t>
  </si>
  <si>
    <t xml:space="preserve">License procurement/activation</t>
  </si>
  <si>
    <t xml:space="preserve">Test environment validation</t>
  </si>
  <si>
    <t xml:space="preserve">VDI image preparation</t>
  </si>
  <si>
    <t xml:space="preserve">User communication</t>
  </si>
  <si>
    <t xml:space="preserve">Help desk training</t>
  </si>
  <si>
    <t xml:space="preserve">3. Pilot</t>
  </si>
  <si>
    <t xml:space="preserve">Pilot group deployment</t>
  </si>
  <si>
    <t xml:space="preserve">Pilot user validation</t>
  </si>
  <si>
    <t xml:space="preserve">Issue resolution</t>
  </si>
  <si>
    <t xml:space="preserve">4. Deployment</t>
  </si>
  <si>
    <t xml:space="preserve">Wave 1 deployment</t>
  </si>
  <si>
    <t xml:space="preserve">Wave 2+ deployment</t>
  </si>
  <si>
    <t xml:space="preserve">Failed install remediation</t>
  </si>
  <si>
    <t xml:space="preserve">User support during rollout</t>
  </si>
  <si>
    <t xml:space="preserve">5. Validation</t>
  </si>
  <si>
    <t xml:space="preserve">Server integration testing</t>
  </si>
  <si>
    <t xml:space="preserve">Functional spot checks</t>
  </si>
  <si>
    <t xml:space="preserve">Performance validation</t>
  </si>
  <si>
    <t xml:space="preserve">6. Closure</t>
  </si>
  <si>
    <t xml:space="preserve">Old version cleanup</t>
  </si>
  <si>
    <t xml:space="preserve">Documentation updates</t>
  </si>
  <si>
    <t xml:space="preserve">Lessons learned</t>
  </si>
  <si>
    <t xml:space="preserve">TOTAL</t>
  </si>
  <si>
    <t xml:space="preserve">DESKTOP/CLIENT APPLICATION UPGRADE ESTIMATION RUBRIC</t>
  </si>
  <si>
    <t xml:space="preserve">Documentation &amp; User Guide</t>
  </si>
  <si>
    <t xml:space="preserve">OVERVIEW</t>
  </si>
  <si>
    <t xml:space="preserve">Purpose:</t>
  </si>
  <si>
    <t xml:space="preserve">Standardized estimation for desktop/client application upgrades including server-dependent thick clients.</t>
  </si>
  <si>
    <t xml:space="preserve">Coverage:</t>
  </si>
  <si>
    <t xml:space="preserve">~90% of client application upgrade scenarios in heavy manufacturing.</t>
  </si>
  <si>
    <t xml:space="preserve">In Scope:</t>
  </si>
  <si>
    <t xml:space="preserve">ERP clients, PLM/PDM clients, CAD/CAM tools, MES/Shop Floor clients, Quality/Compliance tools.</t>
  </si>
  <si>
    <t xml:space="preserve">Out of Scope:</t>
  </si>
  <si>
    <t xml:space="preserve">Hardware installation/upgrades (separate project), pure web apps, mobile apps.</t>
  </si>
  <si>
    <t xml:space="preserve">CATEGORIES EXPLAINED</t>
  </si>
  <si>
    <t xml:space="preserve">Basic sizing: workstation count, application type, user population, geographic distribution.</t>
  </si>
  <si>
    <t xml:space="preserve">Server dependency: version coupling, protocol compatibility, backward compatibility, authentication.</t>
  </si>
  <si>
    <t xml:space="preserve">Application factors: version jump, install complexity, data migration, prerequisites.</t>
  </si>
  <si>
    <t xml:space="preserve">Target environment: VDI vs physical, hardware compatibility (assessment only), OS, VDI images.</t>
  </si>
  <si>
    <t xml:space="preserve">Rollout mechanics: deployment method, waves, user downtime, self-service options.</t>
  </si>
  <si>
    <t xml:space="preserve">License factors: model changes, count, license server impact.</t>
  </si>
  <si>
    <t xml:space="preserve">Validation: test environment, functional testing, server integration, UAT.</t>
  </si>
  <si>
    <t xml:space="preserve">Process overhead: approvals, user communication, help desk prep, stakeholders.</t>
  </si>
  <si>
    <t xml:space="preserve">Business factors: rollback capability, criticality, timeline pressure.</t>
  </si>
  <si>
    <t xml:space="preserve">KEY NOTES</t>
  </si>
  <si>
    <t xml:space="preserve">1. Hardware Compatibility is ASSESSMENT ONLY - if upgrades needed, that's a separate project.</t>
  </si>
  <si>
    <t xml:space="preserve">2. VDI Image Management = 1 (N/A) for physical-only deployments.</t>
  </si>
  <si>
    <t xml:space="preserve">3. Deployment Target Complexity captures both VDI and physical diversity.</t>
  </si>
  <si>
    <t xml:space="preserve">4. Server upgrade must typically happen BEFORE client upgrade when tight version coupling exists.</t>
  </si>
  <si>
    <t xml:space="preserve">5. MES/Shop Floor clients often have stricter downtime constraints due to production impact.</t>
  </si>
  <si>
    <t xml:space="preserve">HOW TO USE</t>
  </si>
  <si>
    <t xml:space="preserve">1. Go to Estimation Matrix tab</t>
  </si>
  <si>
    <t xml:space="preserve">2. Review Project Type Presets for similar project starting points</t>
  </si>
  <si>
    <t xml:space="preserve">3. For each attribute, read Low/Medium/High descriptions</t>
  </si>
  <si>
    <t xml:space="preserve">4. Enter complexity rating (1-5) in yellow Selection column</t>
  </si>
  <si>
    <t xml:space="preserve">5. Set VDI Image Management = 1 if physical-only deployment</t>
  </si>
  <si>
    <t xml:space="preserve">6. Review calculated Effort Hours</t>
  </si>
  <si>
    <t xml:space="preserve">7. Adjust Contingency % based on project risk (default 15%)</t>
  </si>
  <si>
    <t xml:space="preserve">8. Use Effort Breakdown tab to distribute hours across phases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</si>
</sst>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General"/>
    <numFmt numFmtId="167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sz val="10"/>
      <color rgb="FF0000FF"/>
      <name val="Cambria"/>
      <family val="0"/>
      <charset val="1"/>
    </font>
    <font>
      <b val="true"/>
      <sz val="12"/>
      <color rgb="FF1F4E79"/>
      <name val="Cambria"/>
      <family val="0"/>
      <charset val="1"/>
    </font>
    <font>
      <sz val="1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sz val="9"/>
      <name val="Cambria"/>
      <family val="0"/>
      <charset val="1"/>
    </font>
    <font>
      <b val="true"/>
      <i val="true"/>
      <sz val="12"/>
      <name val="Cambria"/>
      <family val="0"/>
      <charset val="1"/>
    </font>
    <font>
      <b val="true"/>
      <sz val="12"/>
      <color rgb="FF2E75B6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DCE5"/>
        <bgColor rgb="FFC6EFCE"/>
      </patternFill>
    </fill>
    <fill>
      <patternFill patternType="solid">
        <fgColor rgb="FFFFF2CC"/>
        <bgColor rgb="FFFFEB9C"/>
      </patternFill>
    </fill>
    <fill>
      <patternFill patternType="solid">
        <fgColor rgb="FFC6EFCE"/>
        <bgColor rgb="FFD6DCE5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D6DC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28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8.3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28.35" hidden="false" customHeight="false" outlineLevel="0" collapsed="false">
      <c r="A5" s="4" t="s">
        <v>13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6" t="n">
        <v>1</v>
      </c>
      <c r="H5" s="7" t="n">
        <v>4</v>
      </c>
      <c r="I5" s="8" t="n">
        <f aca="false">ROUND(G5/3,2)</f>
        <v>0.33</v>
      </c>
      <c r="J5" s="7" t="n">
        <f aca="false">ROUND(H5*I5,1)</f>
        <v>1.3</v>
      </c>
      <c r="K5" s="7"/>
    </row>
    <row r="6" customFormat="false" ht="28.35" hidden="false" customHeight="false" outlineLevel="0" collapsed="false">
      <c r="A6" s="5"/>
      <c r="B6" s="5" t="s">
        <v>19</v>
      </c>
      <c r="C6" s="5" t="s">
        <v>20</v>
      </c>
      <c r="D6" s="5" t="s">
        <v>21</v>
      </c>
      <c r="E6" s="5" t="s">
        <v>22</v>
      </c>
      <c r="F6" s="5" t="s">
        <v>23</v>
      </c>
      <c r="G6" s="6" t="n">
        <v>1</v>
      </c>
      <c r="H6" s="7" t="n">
        <v>5</v>
      </c>
      <c r="I6" s="8" t="n">
        <f aca="false">ROUND(G6/3,2)</f>
        <v>0.33</v>
      </c>
      <c r="J6" s="7" t="n">
        <f aca="false">ROUND(H6*I6,1)</f>
        <v>1.7</v>
      </c>
      <c r="K6" s="7"/>
    </row>
    <row r="7" customFormat="false" ht="28.35" hidden="false" customHeight="false" outlineLevel="0" collapsed="false">
      <c r="A7" s="5"/>
      <c r="B7" s="5" t="s">
        <v>24</v>
      </c>
      <c r="C7" s="5" t="s">
        <v>25</v>
      </c>
      <c r="D7" s="5" t="s">
        <v>26</v>
      </c>
      <c r="E7" s="5" t="s">
        <v>27</v>
      </c>
      <c r="F7" s="5" t="s">
        <v>28</v>
      </c>
      <c r="G7" s="6" t="n">
        <v>1</v>
      </c>
      <c r="H7" s="7" t="n">
        <v>4</v>
      </c>
      <c r="I7" s="8" t="n">
        <f aca="false">ROUND(G7/3,2)</f>
        <v>0.33</v>
      </c>
      <c r="J7" s="7" t="n">
        <f aca="false">ROUND(H7*I7,1)</f>
        <v>1.3</v>
      </c>
      <c r="K7" s="7"/>
    </row>
    <row r="8" customFormat="false" ht="15" hidden="false" customHeight="false" outlineLevel="0" collapsed="false">
      <c r="A8" s="5"/>
      <c r="B8" s="5" t="s">
        <v>29</v>
      </c>
      <c r="C8" s="5" t="s">
        <v>30</v>
      </c>
      <c r="D8" s="5" t="s">
        <v>31</v>
      </c>
      <c r="E8" s="5" t="s">
        <v>32</v>
      </c>
      <c r="F8" s="5" t="s">
        <v>33</v>
      </c>
      <c r="G8" s="6" t="n">
        <v>1</v>
      </c>
      <c r="H8" s="7" t="n">
        <v>4</v>
      </c>
      <c r="I8" s="8" t="n">
        <f aca="false">ROUND(G8/3,2)</f>
        <v>0.33</v>
      </c>
      <c r="J8" s="7" t="n">
        <f aca="false">ROUND(H8*I8,1)</f>
        <v>1.3</v>
      </c>
      <c r="K8" s="7"/>
    </row>
    <row r="9" customFormat="false" ht="15" hidden="false" customHeight="false" outlineLevel="0" collapsed="false">
      <c r="A9" s="5"/>
      <c r="B9" s="5" t="s">
        <v>34</v>
      </c>
      <c r="C9" s="5" t="s">
        <v>35</v>
      </c>
      <c r="D9" s="5" t="s">
        <v>36</v>
      </c>
      <c r="E9" s="5" t="s">
        <v>37</v>
      </c>
      <c r="F9" s="5" t="s">
        <v>38</v>
      </c>
      <c r="G9" s="6" t="n">
        <v>1</v>
      </c>
      <c r="H9" s="7" t="n">
        <v>3</v>
      </c>
      <c r="I9" s="8" t="n">
        <f aca="false">ROUND(G9/3,2)</f>
        <v>0.33</v>
      </c>
      <c r="J9" s="7" t="n">
        <f aca="false">ROUND(H9*I9,1)</f>
        <v>1</v>
      </c>
      <c r="K9" s="7"/>
    </row>
    <row r="10" customFormat="false" ht="15" hidden="false" customHeight="false" outlineLevel="0" collapsed="false">
      <c r="A10" s="4" t="s">
        <v>39</v>
      </c>
      <c r="B10" s="5" t="s">
        <v>40</v>
      </c>
      <c r="C10" s="5" t="s">
        <v>41</v>
      </c>
      <c r="D10" s="5" t="s">
        <v>42</v>
      </c>
      <c r="E10" s="5" t="s">
        <v>43</v>
      </c>
      <c r="F10" s="5" t="s">
        <v>44</v>
      </c>
      <c r="G10" s="6" t="n">
        <v>1</v>
      </c>
      <c r="H10" s="7" t="n">
        <v>8</v>
      </c>
      <c r="I10" s="8" t="n">
        <f aca="false">ROUND(G10/3,2)</f>
        <v>0.33</v>
      </c>
      <c r="J10" s="7" t="n">
        <f aca="false">ROUND(H10*I10,1)</f>
        <v>2.6</v>
      </c>
      <c r="K10" s="7"/>
    </row>
    <row r="11" customFormat="false" ht="28.35" hidden="false" customHeight="false" outlineLevel="0" collapsed="false">
      <c r="A11" s="5"/>
      <c r="B11" s="5" t="s">
        <v>45</v>
      </c>
      <c r="C11" s="5" t="s">
        <v>46</v>
      </c>
      <c r="D11" s="5" t="s">
        <v>47</v>
      </c>
      <c r="E11" s="5" t="s">
        <v>48</v>
      </c>
      <c r="F11" s="5" t="s">
        <v>49</v>
      </c>
      <c r="G11" s="6" t="n">
        <v>1</v>
      </c>
      <c r="H11" s="7" t="n">
        <v>6</v>
      </c>
      <c r="I11" s="8" t="n">
        <f aca="false">ROUND(G11/3,2)</f>
        <v>0.33</v>
      </c>
      <c r="J11" s="7" t="n">
        <f aca="false">ROUND(H11*I11,1)</f>
        <v>2</v>
      </c>
      <c r="K11" s="7"/>
    </row>
    <row r="12" customFormat="false" ht="28.35" hidden="false" customHeight="false" outlineLevel="0" collapsed="false">
      <c r="A12" s="5"/>
      <c r="B12" s="5" t="s">
        <v>50</v>
      </c>
      <c r="C12" s="5" t="s">
        <v>51</v>
      </c>
      <c r="D12" s="5" t="s">
        <v>52</v>
      </c>
      <c r="E12" s="5" t="s">
        <v>53</v>
      </c>
      <c r="F12" s="5" t="s">
        <v>54</v>
      </c>
      <c r="G12" s="6" t="n">
        <v>1</v>
      </c>
      <c r="H12" s="7" t="n">
        <v>8</v>
      </c>
      <c r="I12" s="8" t="n">
        <f aca="false">ROUND(G12/3,2)</f>
        <v>0.33</v>
      </c>
      <c r="J12" s="7" t="n">
        <f aca="false">ROUND(H12*I12,1)</f>
        <v>2.6</v>
      </c>
      <c r="K12" s="7"/>
    </row>
    <row r="13" customFormat="false" ht="15" hidden="false" customHeight="false" outlineLevel="0" collapsed="false">
      <c r="A13" s="5"/>
      <c r="B13" s="5" t="s">
        <v>55</v>
      </c>
      <c r="C13" s="5" t="s">
        <v>56</v>
      </c>
      <c r="D13" s="5" t="s">
        <v>57</v>
      </c>
      <c r="E13" s="5" t="s">
        <v>58</v>
      </c>
      <c r="F13" s="5" t="s">
        <v>59</v>
      </c>
      <c r="G13" s="6" t="n">
        <v>1</v>
      </c>
      <c r="H13" s="7" t="n">
        <v>4</v>
      </c>
      <c r="I13" s="8" t="n">
        <f aca="false">ROUND(G13/3,2)</f>
        <v>0.33</v>
      </c>
      <c r="J13" s="7" t="n">
        <f aca="false">ROUND(H13*I13,1)</f>
        <v>1.3</v>
      </c>
      <c r="K13" s="7"/>
    </row>
    <row r="14" customFormat="false" ht="15" hidden="false" customHeight="false" outlineLevel="0" collapsed="false">
      <c r="A14" s="5"/>
      <c r="B14" s="5" t="s">
        <v>60</v>
      </c>
      <c r="C14" s="5" t="s">
        <v>61</v>
      </c>
      <c r="D14" s="5" t="s">
        <v>62</v>
      </c>
      <c r="E14" s="5" t="s">
        <v>63</v>
      </c>
      <c r="F14" s="5" t="s">
        <v>64</v>
      </c>
      <c r="G14" s="6" t="n">
        <v>1</v>
      </c>
      <c r="H14" s="7" t="n">
        <v>6</v>
      </c>
      <c r="I14" s="8" t="n">
        <f aca="false">ROUND(G14/3,2)</f>
        <v>0.33</v>
      </c>
      <c r="J14" s="7" t="n">
        <f aca="false">ROUND(H14*I14,1)</f>
        <v>2</v>
      </c>
      <c r="K14" s="7"/>
    </row>
    <row r="15" customFormat="false" ht="15" hidden="false" customHeight="false" outlineLevel="0" collapsed="false">
      <c r="A15" s="4" t="s">
        <v>65</v>
      </c>
      <c r="B15" s="5" t="s">
        <v>66</v>
      </c>
      <c r="C15" s="5" t="s">
        <v>67</v>
      </c>
      <c r="D15" s="5" t="s">
        <v>68</v>
      </c>
      <c r="E15" s="5" t="s">
        <v>69</v>
      </c>
      <c r="F15" s="5" t="s">
        <v>70</v>
      </c>
      <c r="G15" s="6" t="n">
        <v>1</v>
      </c>
      <c r="H15" s="7" t="n">
        <v>8</v>
      </c>
      <c r="I15" s="8" t="n">
        <f aca="false">ROUND(G15/3,2)</f>
        <v>0.33</v>
      </c>
      <c r="J15" s="7" t="n">
        <f aca="false">ROUND(H15*I15,1)</f>
        <v>2.6</v>
      </c>
      <c r="K15" s="7"/>
    </row>
    <row r="16" customFormat="false" ht="15" hidden="false" customHeight="false" outlineLevel="0" collapsed="false">
      <c r="A16" s="5"/>
      <c r="B16" s="5" t="s">
        <v>71</v>
      </c>
      <c r="C16" s="5" t="s">
        <v>72</v>
      </c>
      <c r="D16" s="5" t="s">
        <v>73</v>
      </c>
      <c r="E16" s="5" t="s">
        <v>74</v>
      </c>
      <c r="F16" s="5" t="s">
        <v>75</v>
      </c>
      <c r="G16" s="6" t="n">
        <v>1</v>
      </c>
      <c r="H16" s="7" t="n">
        <v>6</v>
      </c>
      <c r="I16" s="8" t="n">
        <f aca="false">ROUND(G16/3,2)</f>
        <v>0.33</v>
      </c>
      <c r="J16" s="7" t="n">
        <f aca="false">ROUND(H16*I16,1)</f>
        <v>2</v>
      </c>
      <c r="K16" s="7"/>
    </row>
    <row r="17" customFormat="false" ht="15" hidden="false" customHeight="false" outlineLevel="0" collapsed="false">
      <c r="A17" s="5"/>
      <c r="B17" s="5" t="s">
        <v>76</v>
      </c>
      <c r="C17" s="5" t="s">
        <v>77</v>
      </c>
      <c r="D17" s="5" t="s">
        <v>78</v>
      </c>
      <c r="E17" s="5" t="s">
        <v>79</v>
      </c>
      <c r="F17" s="5" t="s">
        <v>80</v>
      </c>
      <c r="G17" s="6" t="n">
        <v>1</v>
      </c>
      <c r="H17" s="7" t="n">
        <v>6</v>
      </c>
      <c r="I17" s="8" t="n">
        <f aca="false">ROUND(G17/3,2)</f>
        <v>0.33</v>
      </c>
      <c r="J17" s="7" t="n">
        <f aca="false">ROUND(H17*I17,1)</f>
        <v>2</v>
      </c>
      <c r="K17" s="7"/>
    </row>
    <row r="18" customFormat="false" ht="28.35" hidden="false" customHeight="false" outlineLevel="0" collapsed="false">
      <c r="A18" s="5"/>
      <c r="B18" s="5" t="s">
        <v>81</v>
      </c>
      <c r="C18" s="5" t="s">
        <v>82</v>
      </c>
      <c r="D18" s="5" t="s">
        <v>83</v>
      </c>
      <c r="E18" s="5" t="s">
        <v>84</v>
      </c>
      <c r="F18" s="5" t="s">
        <v>85</v>
      </c>
      <c r="G18" s="6" t="n">
        <v>1</v>
      </c>
      <c r="H18" s="7" t="n">
        <v>4</v>
      </c>
      <c r="I18" s="8" t="n">
        <f aca="false">ROUND(G18/3,2)</f>
        <v>0.33</v>
      </c>
      <c r="J18" s="7" t="n">
        <f aca="false">ROUND(H18*I18,1)</f>
        <v>1.3</v>
      </c>
      <c r="K18" s="7"/>
    </row>
    <row r="19" customFormat="false" ht="28.35" hidden="false" customHeight="false" outlineLevel="0" collapsed="false">
      <c r="A19" s="5"/>
      <c r="B19" s="5" t="s">
        <v>86</v>
      </c>
      <c r="C19" s="5" t="s">
        <v>87</v>
      </c>
      <c r="D19" s="5" t="s">
        <v>88</v>
      </c>
      <c r="E19" s="5" t="s">
        <v>89</v>
      </c>
      <c r="F19" s="5" t="s">
        <v>90</v>
      </c>
      <c r="G19" s="6" t="n">
        <v>1</v>
      </c>
      <c r="H19" s="7" t="n">
        <v>6</v>
      </c>
      <c r="I19" s="8" t="n">
        <f aca="false">ROUND(G19/3,2)</f>
        <v>0.33</v>
      </c>
      <c r="J19" s="7" t="n">
        <f aca="false">ROUND(H19*I19,1)</f>
        <v>2</v>
      </c>
      <c r="K19" s="7"/>
    </row>
    <row r="20" customFormat="false" ht="28.35" hidden="false" customHeight="false" outlineLevel="0" collapsed="false">
      <c r="A20" s="4" t="s">
        <v>91</v>
      </c>
      <c r="B20" s="5" t="s">
        <v>92</v>
      </c>
      <c r="C20" s="5" t="s">
        <v>93</v>
      </c>
      <c r="D20" s="5" t="s">
        <v>94</v>
      </c>
      <c r="E20" s="5" t="s">
        <v>95</v>
      </c>
      <c r="F20" s="5" t="s">
        <v>96</v>
      </c>
      <c r="G20" s="6" t="n">
        <v>1</v>
      </c>
      <c r="H20" s="7" t="n">
        <v>6</v>
      </c>
      <c r="I20" s="8" t="n">
        <f aca="false">ROUND(G20/3,2)</f>
        <v>0.33</v>
      </c>
      <c r="J20" s="7" t="n">
        <f aca="false">ROUND(H20*I20,1)</f>
        <v>2</v>
      </c>
      <c r="K20" s="7"/>
    </row>
    <row r="21" customFormat="false" ht="28.35" hidden="false" customHeight="false" outlineLevel="0" collapsed="false">
      <c r="A21" s="5"/>
      <c r="B21" s="5" t="s">
        <v>97</v>
      </c>
      <c r="C21" s="5" t="s">
        <v>98</v>
      </c>
      <c r="D21" s="5" t="s">
        <v>99</v>
      </c>
      <c r="E21" s="5" t="s">
        <v>100</v>
      </c>
      <c r="F21" s="5" t="s">
        <v>101</v>
      </c>
      <c r="G21" s="6" t="n">
        <v>1</v>
      </c>
      <c r="H21" s="7" t="n">
        <v>4</v>
      </c>
      <c r="I21" s="8" t="n">
        <f aca="false">ROUND(G21/3,2)</f>
        <v>0.33</v>
      </c>
      <c r="J21" s="7" t="n">
        <f aca="false">ROUND(H21*I21,1)</f>
        <v>1.3</v>
      </c>
      <c r="K21" s="7"/>
    </row>
    <row r="22" customFormat="false" ht="15" hidden="false" customHeight="false" outlineLevel="0" collapsed="false">
      <c r="A22" s="5"/>
      <c r="B22" s="5" t="s">
        <v>102</v>
      </c>
      <c r="C22" s="5" t="s">
        <v>103</v>
      </c>
      <c r="D22" s="5" t="s">
        <v>104</v>
      </c>
      <c r="E22" s="5" t="s">
        <v>105</v>
      </c>
      <c r="F22" s="5" t="s">
        <v>106</v>
      </c>
      <c r="G22" s="6" t="n">
        <v>1</v>
      </c>
      <c r="H22" s="7" t="n">
        <v>6</v>
      </c>
      <c r="I22" s="8" t="n">
        <f aca="false">ROUND(G22/3,2)</f>
        <v>0.33</v>
      </c>
      <c r="J22" s="7" t="n">
        <f aca="false">ROUND(H22*I22,1)</f>
        <v>2</v>
      </c>
      <c r="K22" s="7"/>
    </row>
    <row r="23" customFormat="false" ht="28.35" hidden="false" customHeight="false" outlineLevel="0" collapsed="false">
      <c r="A23" s="5"/>
      <c r="B23" s="5" t="s">
        <v>107</v>
      </c>
      <c r="C23" s="5" t="s">
        <v>108</v>
      </c>
      <c r="D23" s="5" t="s">
        <v>109</v>
      </c>
      <c r="E23" s="5" t="s">
        <v>110</v>
      </c>
      <c r="F23" s="5" t="s">
        <v>111</v>
      </c>
      <c r="G23" s="6" t="n">
        <v>1</v>
      </c>
      <c r="H23" s="7" t="n">
        <v>4</v>
      </c>
      <c r="I23" s="8" t="n">
        <f aca="false">ROUND(G23/3,2)</f>
        <v>0.33</v>
      </c>
      <c r="J23" s="7" t="n">
        <f aca="false">ROUND(H23*I23,1)</f>
        <v>1.3</v>
      </c>
      <c r="K23" s="7"/>
    </row>
    <row r="24" customFormat="false" ht="15" hidden="false" customHeight="false" outlineLevel="0" collapsed="false">
      <c r="A24" s="4" t="s">
        <v>112</v>
      </c>
      <c r="B24" s="5" t="s">
        <v>113</v>
      </c>
      <c r="C24" s="5" t="s">
        <v>114</v>
      </c>
      <c r="D24" s="5" t="s">
        <v>115</v>
      </c>
      <c r="E24" s="5" t="s">
        <v>116</v>
      </c>
      <c r="F24" s="5" t="s">
        <v>117</v>
      </c>
      <c r="G24" s="6" t="n">
        <v>1</v>
      </c>
      <c r="H24" s="7" t="n">
        <v>6</v>
      </c>
      <c r="I24" s="8" t="n">
        <f aca="false">ROUND(G24/3,2)</f>
        <v>0.33</v>
      </c>
      <c r="J24" s="7" t="n">
        <f aca="false">ROUND(H24*I24,1)</f>
        <v>2</v>
      </c>
      <c r="K24" s="7"/>
    </row>
    <row r="25" customFormat="false" ht="15" hidden="false" customHeight="false" outlineLevel="0" collapsed="false">
      <c r="A25" s="5"/>
      <c r="B25" s="5" t="s">
        <v>118</v>
      </c>
      <c r="C25" s="5" t="s">
        <v>119</v>
      </c>
      <c r="D25" s="5" t="s">
        <v>120</v>
      </c>
      <c r="E25" s="5" t="s">
        <v>121</v>
      </c>
      <c r="F25" s="5" t="s">
        <v>122</v>
      </c>
      <c r="G25" s="6" t="n">
        <v>1</v>
      </c>
      <c r="H25" s="7" t="n">
        <v>4</v>
      </c>
      <c r="I25" s="8" t="n">
        <f aca="false">ROUND(G25/3,2)</f>
        <v>0.33</v>
      </c>
      <c r="J25" s="7" t="n">
        <f aca="false">ROUND(H25*I25,1)</f>
        <v>1.3</v>
      </c>
      <c r="K25" s="7"/>
    </row>
    <row r="26" customFormat="false" ht="28.35" hidden="false" customHeight="false" outlineLevel="0" collapsed="false">
      <c r="A26" s="5"/>
      <c r="B26" s="5" t="s">
        <v>123</v>
      </c>
      <c r="C26" s="5" t="s">
        <v>124</v>
      </c>
      <c r="D26" s="5" t="s">
        <v>125</v>
      </c>
      <c r="E26" s="5" t="s">
        <v>126</v>
      </c>
      <c r="F26" s="5" t="s">
        <v>127</v>
      </c>
      <c r="G26" s="6" t="n">
        <v>1</v>
      </c>
      <c r="H26" s="7" t="n">
        <v>4</v>
      </c>
      <c r="I26" s="8" t="n">
        <f aca="false">ROUND(G26/3,2)</f>
        <v>0.33</v>
      </c>
      <c r="J26" s="7" t="n">
        <f aca="false">ROUND(H26*I26,1)</f>
        <v>1.3</v>
      </c>
      <c r="K26" s="7"/>
    </row>
    <row r="27" customFormat="false" ht="15" hidden="false" customHeight="false" outlineLevel="0" collapsed="false">
      <c r="A27" s="5"/>
      <c r="B27" s="5" t="s">
        <v>128</v>
      </c>
      <c r="C27" s="5" t="s">
        <v>129</v>
      </c>
      <c r="D27" s="5" t="s">
        <v>130</v>
      </c>
      <c r="E27" s="5" t="s">
        <v>131</v>
      </c>
      <c r="F27" s="5" t="s">
        <v>132</v>
      </c>
      <c r="G27" s="6" t="n">
        <v>1</v>
      </c>
      <c r="H27" s="7" t="n">
        <v>3</v>
      </c>
      <c r="I27" s="8" t="n">
        <f aca="false">ROUND(G27/3,2)</f>
        <v>0.33</v>
      </c>
      <c r="J27" s="7" t="n">
        <f aca="false">ROUND(H27*I27,1)</f>
        <v>1</v>
      </c>
      <c r="K27" s="7"/>
    </row>
    <row r="28" customFormat="false" ht="28.35" hidden="false" customHeight="false" outlineLevel="0" collapsed="false">
      <c r="A28" s="5"/>
      <c r="B28" s="5" t="s">
        <v>133</v>
      </c>
      <c r="C28" s="5" t="s">
        <v>134</v>
      </c>
      <c r="D28" s="5" t="s">
        <v>135</v>
      </c>
      <c r="E28" s="5" t="s">
        <v>136</v>
      </c>
      <c r="F28" s="5" t="s">
        <v>137</v>
      </c>
      <c r="G28" s="6" t="n">
        <v>1</v>
      </c>
      <c r="H28" s="7" t="n">
        <v>4</v>
      </c>
      <c r="I28" s="8" t="n">
        <f aca="false">ROUND(G28/3,2)</f>
        <v>0.33</v>
      </c>
      <c r="J28" s="7" t="n">
        <f aca="false">ROUND(H28*I28,1)</f>
        <v>1.3</v>
      </c>
      <c r="K28" s="7"/>
    </row>
    <row r="29" customFormat="false" ht="28.35" hidden="false" customHeight="false" outlineLevel="0" collapsed="false">
      <c r="A29" s="4" t="s">
        <v>138</v>
      </c>
      <c r="B29" s="5" t="s">
        <v>139</v>
      </c>
      <c r="C29" s="5" t="s">
        <v>140</v>
      </c>
      <c r="D29" s="5" t="s">
        <v>141</v>
      </c>
      <c r="E29" s="5" t="s">
        <v>142</v>
      </c>
      <c r="F29" s="5" t="s">
        <v>143</v>
      </c>
      <c r="G29" s="6" t="n">
        <v>1</v>
      </c>
      <c r="H29" s="7" t="n">
        <v>4</v>
      </c>
      <c r="I29" s="8" t="n">
        <f aca="false">ROUND(G29/3,2)</f>
        <v>0.33</v>
      </c>
      <c r="J29" s="7" t="n">
        <f aca="false">ROUND(H29*I29,1)</f>
        <v>1.3</v>
      </c>
      <c r="K29" s="7"/>
    </row>
    <row r="30" customFormat="false" ht="15" hidden="false" customHeight="false" outlineLevel="0" collapsed="false">
      <c r="A30" s="5"/>
      <c r="B30" s="5" t="s">
        <v>144</v>
      </c>
      <c r="C30" s="5" t="s">
        <v>145</v>
      </c>
      <c r="D30" s="5" t="s">
        <v>146</v>
      </c>
      <c r="E30" s="5" t="s">
        <v>147</v>
      </c>
      <c r="F30" s="5" t="s">
        <v>148</v>
      </c>
      <c r="G30" s="6" t="n">
        <v>1</v>
      </c>
      <c r="H30" s="7" t="n">
        <v>3</v>
      </c>
      <c r="I30" s="8" t="n">
        <f aca="false">ROUND(G30/3,2)</f>
        <v>0.33</v>
      </c>
      <c r="J30" s="7" t="n">
        <f aca="false">ROUND(H30*I30,1)</f>
        <v>1</v>
      </c>
      <c r="K30" s="7"/>
    </row>
    <row r="31" customFormat="false" ht="15" hidden="false" customHeight="false" outlineLevel="0" collapsed="false">
      <c r="A31" s="5"/>
      <c r="B31" s="5" t="s">
        <v>149</v>
      </c>
      <c r="C31" s="5" t="s">
        <v>150</v>
      </c>
      <c r="D31" s="5" t="s">
        <v>151</v>
      </c>
      <c r="E31" s="5" t="s">
        <v>152</v>
      </c>
      <c r="F31" s="5" t="s">
        <v>153</v>
      </c>
      <c r="G31" s="6" t="n">
        <v>1</v>
      </c>
      <c r="H31" s="7" t="n">
        <v>4</v>
      </c>
      <c r="I31" s="8" t="n">
        <f aca="false">ROUND(G31/3,2)</f>
        <v>0.33</v>
      </c>
      <c r="J31" s="7" t="n">
        <f aca="false">ROUND(H31*I31,1)</f>
        <v>1.3</v>
      </c>
      <c r="K31" s="7"/>
    </row>
    <row r="32" customFormat="false" ht="28.35" hidden="false" customHeight="false" outlineLevel="0" collapsed="false">
      <c r="A32" s="4" t="s">
        <v>154</v>
      </c>
      <c r="B32" s="5" t="s">
        <v>155</v>
      </c>
      <c r="C32" s="5" t="s">
        <v>156</v>
      </c>
      <c r="D32" s="5" t="s">
        <v>157</v>
      </c>
      <c r="E32" s="5" t="s">
        <v>158</v>
      </c>
      <c r="F32" s="5" t="s">
        <v>159</v>
      </c>
      <c r="G32" s="6" t="n">
        <v>1</v>
      </c>
      <c r="H32" s="7" t="n">
        <v>4</v>
      </c>
      <c r="I32" s="8" t="n">
        <f aca="false">ROUND(G32/3,2)</f>
        <v>0.33</v>
      </c>
      <c r="J32" s="7" t="n">
        <f aca="false">ROUND(H32*I32,1)</f>
        <v>1.3</v>
      </c>
      <c r="K32" s="7"/>
    </row>
    <row r="33" customFormat="false" ht="15" hidden="false" customHeight="false" outlineLevel="0" collapsed="false">
      <c r="A33" s="5"/>
      <c r="B33" s="5" t="s">
        <v>160</v>
      </c>
      <c r="C33" s="5" t="s">
        <v>161</v>
      </c>
      <c r="D33" s="5" t="s">
        <v>162</v>
      </c>
      <c r="E33" s="5" t="s">
        <v>163</v>
      </c>
      <c r="F33" s="5" t="s">
        <v>164</v>
      </c>
      <c r="G33" s="6" t="n">
        <v>1</v>
      </c>
      <c r="H33" s="7" t="n">
        <v>8</v>
      </c>
      <c r="I33" s="8" t="n">
        <f aca="false">ROUND(G33/3,2)</f>
        <v>0.33</v>
      </c>
      <c r="J33" s="7" t="n">
        <f aca="false">ROUND(H33*I33,1)</f>
        <v>2.6</v>
      </c>
      <c r="K33" s="7"/>
    </row>
    <row r="34" customFormat="false" ht="15" hidden="false" customHeight="false" outlineLevel="0" collapsed="false">
      <c r="A34" s="5"/>
      <c r="B34" s="5" t="s">
        <v>165</v>
      </c>
      <c r="C34" s="5" t="s">
        <v>166</v>
      </c>
      <c r="D34" s="5" t="s">
        <v>167</v>
      </c>
      <c r="E34" s="5" t="s">
        <v>168</v>
      </c>
      <c r="F34" s="5" t="s">
        <v>169</v>
      </c>
      <c r="G34" s="6" t="n">
        <v>1</v>
      </c>
      <c r="H34" s="7" t="n">
        <v>6</v>
      </c>
      <c r="I34" s="8" t="n">
        <f aca="false">ROUND(G34/3,2)</f>
        <v>0.33</v>
      </c>
      <c r="J34" s="7" t="n">
        <f aca="false">ROUND(H34*I34,1)</f>
        <v>2</v>
      </c>
      <c r="K34" s="7"/>
    </row>
    <row r="35" customFormat="false" ht="15" hidden="false" customHeight="false" outlineLevel="0" collapsed="false">
      <c r="A35" s="5"/>
      <c r="B35" s="5" t="s">
        <v>170</v>
      </c>
      <c r="C35" s="5" t="s">
        <v>171</v>
      </c>
      <c r="D35" s="5" t="s">
        <v>172</v>
      </c>
      <c r="E35" s="5" t="s">
        <v>173</v>
      </c>
      <c r="F35" s="5" t="s">
        <v>174</v>
      </c>
      <c r="G35" s="6" t="n">
        <v>1</v>
      </c>
      <c r="H35" s="7" t="n">
        <v>6</v>
      </c>
      <c r="I35" s="8" t="n">
        <f aca="false">ROUND(G35/3,2)</f>
        <v>0.33</v>
      </c>
      <c r="J35" s="7" t="n">
        <f aca="false">ROUND(H35*I35,1)</f>
        <v>2</v>
      </c>
      <c r="K35" s="7"/>
    </row>
    <row r="36" customFormat="false" ht="28.35" hidden="false" customHeight="false" outlineLevel="0" collapsed="false">
      <c r="A36" s="4" t="s">
        <v>175</v>
      </c>
      <c r="B36" s="5" t="s">
        <v>176</v>
      </c>
      <c r="C36" s="5" t="s">
        <v>177</v>
      </c>
      <c r="D36" s="5" t="s">
        <v>178</v>
      </c>
      <c r="E36" s="5" t="s">
        <v>179</v>
      </c>
      <c r="F36" s="5" t="s">
        <v>180</v>
      </c>
      <c r="G36" s="6" t="n">
        <v>1</v>
      </c>
      <c r="H36" s="7" t="n">
        <v>2</v>
      </c>
      <c r="I36" s="8" t="n">
        <f aca="false">ROUND(G36/3,2)</f>
        <v>0.33</v>
      </c>
      <c r="J36" s="7" t="n">
        <f aca="false">ROUND(H36*I36,1)</f>
        <v>0.7</v>
      </c>
      <c r="K36" s="7"/>
    </row>
    <row r="37" customFormat="false" ht="15" hidden="false" customHeight="false" outlineLevel="0" collapsed="false">
      <c r="A37" s="5"/>
      <c r="B37" s="5" t="s">
        <v>181</v>
      </c>
      <c r="C37" s="5" t="s">
        <v>182</v>
      </c>
      <c r="D37" s="5" t="s">
        <v>183</v>
      </c>
      <c r="E37" s="5" t="s">
        <v>184</v>
      </c>
      <c r="F37" s="5" t="s">
        <v>185</v>
      </c>
      <c r="G37" s="6" t="n">
        <v>1</v>
      </c>
      <c r="H37" s="7" t="n">
        <v>4</v>
      </c>
      <c r="I37" s="8" t="n">
        <f aca="false">ROUND(G37/3,2)</f>
        <v>0.33</v>
      </c>
      <c r="J37" s="7" t="n">
        <f aca="false">ROUND(H37*I37,1)</f>
        <v>1.3</v>
      </c>
      <c r="K37" s="7"/>
    </row>
    <row r="38" customFormat="false" ht="15" hidden="false" customHeight="false" outlineLevel="0" collapsed="false">
      <c r="A38" s="5"/>
      <c r="B38" s="5" t="s">
        <v>186</v>
      </c>
      <c r="C38" s="5" t="s">
        <v>187</v>
      </c>
      <c r="D38" s="5" t="s">
        <v>188</v>
      </c>
      <c r="E38" s="5" t="s">
        <v>189</v>
      </c>
      <c r="F38" s="5" t="s">
        <v>190</v>
      </c>
      <c r="G38" s="6" t="n">
        <v>1</v>
      </c>
      <c r="H38" s="7" t="n">
        <v>3</v>
      </c>
      <c r="I38" s="8" t="n">
        <f aca="false">ROUND(G38/3,2)</f>
        <v>0.33</v>
      </c>
      <c r="J38" s="7" t="n">
        <f aca="false">ROUND(H38*I38,1)</f>
        <v>1</v>
      </c>
      <c r="K38" s="7"/>
    </row>
    <row r="39" customFormat="false" ht="15" hidden="false" customHeight="false" outlineLevel="0" collapsed="false">
      <c r="A39" s="5"/>
      <c r="B39" s="5" t="s">
        <v>191</v>
      </c>
      <c r="C39" s="5" t="s">
        <v>192</v>
      </c>
      <c r="D39" s="5" t="s">
        <v>193</v>
      </c>
      <c r="E39" s="5" t="s">
        <v>194</v>
      </c>
      <c r="F39" s="5" t="s">
        <v>195</v>
      </c>
      <c r="G39" s="6" t="n">
        <v>1</v>
      </c>
      <c r="H39" s="7" t="n">
        <v>3</v>
      </c>
      <c r="I39" s="8" t="n">
        <f aca="false">ROUND(G39/3,2)</f>
        <v>0.33</v>
      </c>
      <c r="J39" s="7" t="n">
        <f aca="false">ROUND(H39*I39,1)</f>
        <v>1</v>
      </c>
      <c r="K39" s="7"/>
    </row>
    <row r="40" customFormat="false" ht="28.35" hidden="false" customHeight="false" outlineLevel="0" collapsed="false">
      <c r="A40" s="4" t="s">
        <v>196</v>
      </c>
      <c r="B40" s="5" t="s">
        <v>197</v>
      </c>
      <c r="C40" s="5" t="s">
        <v>198</v>
      </c>
      <c r="D40" s="5" t="s">
        <v>199</v>
      </c>
      <c r="E40" s="5" t="s">
        <v>200</v>
      </c>
      <c r="F40" s="5" t="s">
        <v>201</v>
      </c>
      <c r="G40" s="6" t="n">
        <v>1</v>
      </c>
      <c r="H40" s="7" t="n">
        <v>4</v>
      </c>
      <c r="I40" s="8" t="n">
        <f aca="false">ROUND(G40/3,2)</f>
        <v>0.33</v>
      </c>
      <c r="J40" s="7" t="n">
        <f aca="false">ROUND(H40*I40,1)</f>
        <v>1.3</v>
      </c>
      <c r="K40" s="7"/>
    </row>
    <row r="41" customFormat="false" ht="15" hidden="false" customHeight="false" outlineLevel="0" collapsed="false">
      <c r="A41" s="5"/>
      <c r="B41" s="5" t="s">
        <v>202</v>
      </c>
      <c r="C41" s="5" t="s">
        <v>203</v>
      </c>
      <c r="D41" s="5" t="s">
        <v>204</v>
      </c>
      <c r="E41" s="5" t="s">
        <v>205</v>
      </c>
      <c r="F41" s="5" t="s">
        <v>206</v>
      </c>
      <c r="G41" s="6" t="n">
        <v>1</v>
      </c>
      <c r="H41" s="7" t="n">
        <v>4</v>
      </c>
      <c r="I41" s="8" t="n">
        <f aca="false">ROUND(G41/3,2)</f>
        <v>0.33</v>
      </c>
      <c r="J41" s="7" t="n">
        <f aca="false">ROUND(H41*I41,1)</f>
        <v>1.3</v>
      </c>
      <c r="K41" s="7"/>
    </row>
    <row r="42" customFormat="false" ht="15" hidden="false" customHeight="false" outlineLevel="0" collapsed="false">
      <c r="A42" s="5"/>
      <c r="B42" s="5" t="s">
        <v>207</v>
      </c>
      <c r="C42" s="5" t="s">
        <v>208</v>
      </c>
      <c r="D42" s="5" t="s">
        <v>209</v>
      </c>
      <c r="E42" s="5" t="s">
        <v>210</v>
      </c>
      <c r="F42" s="5" t="s">
        <v>211</v>
      </c>
      <c r="G42" s="6" t="n">
        <v>1</v>
      </c>
      <c r="H42" s="7" t="n">
        <v>3</v>
      </c>
      <c r="I42" s="8" t="n">
        <f aca="false">ROUND(G42/3,2)</f>
        <v>0.33</v>
      </c>
      <c r="J42" s="7" t="n">
        <f aca="false">ROUND(H42*I42,1)</f>
        <v>1</v>
      </c>
      <c r="K42" s="7"/>
    </row>
    <row r="45" customFormat="false" ht="15" hidden="false" customHeight="false" outlineLevel="0" collapsed="false">
      <c r="A45" s="9" t="s">
        <v>212</v>
      </c>
      <c r="B45" s="9"/>
      <c r="C45" s="9"/>
      <c r="D45" s="9"/>
      <c r="E45" s="9"/>
      <c r="F45" s="9"/>
    </row>
    <row r="46" customFormat="false" ht="15" hidden="false" customHeight="false" outlineLevel="0" collapsed="false">
      <c r="A46" s="10" t="s">
        <v>213</v>
      </c>
      <c r="H46" s="11" t="n">
        <f aca="false">SUM(H5:H42)</f>
        <v>181</v>
      </c>
    </row>
    <row r="47" customFormat="false" ht="15" hidden="false" customHeight="false" outlineLevel="0" collapsed="false">
      <c r="A47" s="12" t="s">
        <v>214</v>
      </c>
      <c r="J47" s="13" t="n">
        <f aca="false">SUM(J5:J42)</f>
        <v>59.6</v>
      </c>
    </row>
    <row r="48" customFormat="false" ht="15" hidden="false" customHeight="false" outlineLevel="0" collapsed="false">
      <c r="A48" s="0" t="s">
        <v>215</v>
      </c>
      <c r="G48" s="14" t="n">
        <v>0.15</v>
      </c>
      <c r="J48" s="11" t="n">
        <f aca="false">J47*G48</f>
        <v>8.94</v>
      </c>
    </row>
    <row r="49" customFormat="false" ht="15" hidden="false" customHeight="false" outlineLevel="0" collapsed="false">
      <c r="A49" s="12" t="s">
        <v>216</v>
      </c>
      <c r="J49" s="15" t="n">
        <f aca="false">J47+J48</f>
        <v>68.54</v>
      </c>
    </row>
    <row r="50" customFormat="false" ht="15" hidden="false" customHeight="false" outlineLevel="0" collapsed="false">
      <c r="A50" s="0" t="s">
        <v>217</v>
      </c>
      <c r="J50" s="11" t="n">
        <f aca="false">ROUND(J49/8,1)</f>
        <v>8.6</v>
      </c>
    </row>
  </sheetData>
  <mergeCells count="3">
    <mergeCell ref="A1:K1"/>
    <mergeCell ref="A2:K2"/>
    <mergeCell ref="A45:F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8" min="3" style="0" width="12"/>
  </cols>
  <sheetData>
    <row r="1" customFormat="false" ht="17.35" hidden="false" customHeight="false" outlineLevel="0" collapsed="false">
      <c r="A1" s="1" t="s">
        <v>218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219</v>
      </c>
      <c r="B2" s="2"/>
      <c r="C2" s="2"/>
      <c r="D2" s="2"/>
      <c r="E2" s="2"/>
      <c r="F2" s="2"/>
      <c r="G2" s="2"/>
      <c r="H2" s="2"/>
    </row>
    <row r="4" customFormat="false" ht="28.35" hidden="false" customHeight="false" outlineLevel="0" collapsed="false">
      <c r="A4" s="3" t="s">
        <v>2</v>
      </c>
      <c r="B4" s="3" t="s">
        <v>3</v>
      </c>
      <c r="C4" s="3" t="s">
        <v>220</v>
      </c>
      <c r="D4" s="3" t="s">
        <v>221</v>
      </c>
      <c r="E4" s="3" t="s">
        <v>222</v>
      </c>
      <c r="F4" s="3" t="s">
        <v>223</v>
      </c>
      <c r="G4" s="3" t="s">
        <v>224</v>
      </c>
      <c r="H4" s="3" t="s">
        <v>225</v>
      </c>
    </row>
    <row r="5" customFormat="false" ht="15" hidden="false" customHeight="false" outlineLevel="0" collapsed="false">
      <c r="A5" s="16" t="s">
        <v>13</v>
      </c>
      <c r="B5" s="17" t="s">
        <v>14</v>
      </c>
      <c r="C5" s="18" t="n">
        <v>5</v>
      </c>
      <c r="D5" s="19" t="n">
        <v>3</v>
      </c>
      <c r="E5" s="19" t="n">
        <v>3</v>
      </c>
      <c r="F5" s="18" t="n">
        <v>4</v>
      </c>
      <c r="G5" s="19" t="n">
        <v>3</v>
      </c>
      <c r="H5" s="20" t="n">
        <v>1</v>
      </c>
    </row>
    <row r="6" customFormat="false" ht="15" hidden="false" customHeight="false" outlineLevel="0" collapsed="false">
      <c r="A6" s="11"/>
      <c r="B6" s="17" t="s">
        <v>19</v>
      </c>
      <c r="C6" s="18" t="n">
        <v>5</v>
      </c>
      <c r="D6" s="18" t="n">
        <v>5</v>
      </c>
      <c r="E6" s="18" t="n">
        <v>4</v>
      </c>
      <c r="F6" s="18" t="n">
        <v>5</v>
      </c>
      <c r="G6" s="18" t="n">
        <v>4</v>
      </c>
      <c r="H6" s="20" t="n">
        <v>2</v>
      </c>
    </row>
    <row r="7" customFormat="false" ht="15" hidden="false" customHeight="false" outlineLevel="0" collapsed="false">
      <c r="A7" s="11"/>
      <c r="B7" s="17" t="s">
        <v>24</v>
      </c>
      <c r="C7" s="18" t="n">
        <v>5</v>
      </c>
      <c r="D7" s="19" t="n">
        <v>3</v>
      </c>
      <c r="E7" s="20" t="n">
        <v>2</v>
      </c>
      <c r="F7" s="18" t="n">
        <v>4</v>
      </c>
      <c r="G7" s="19" t="n">
        <v>3</v>
      </c>
      <c r="H7" s="20" t="n">
        <v>1</v>
      </c>
    </row>
    <row r="8" customFormat="false" ht="15" hidden="false" customHeight="false" outlineLevel="0" collapsed="false">
      <c r="A8" s="11"/>
      <c r="B8" s="17" t="s">
        <v>29</v>
      </c>
      <c r="C8" s="18" t="n">
        <v>4</v>
      </c>
      <c r="D8" s="19" t="n">
        <v>3</v>
      </c>
      <c r="E8" s="20" t="n">
        <v>2</v>
      </c>
      <c r="F8" s="19" t="n">
        <v>3</v>
      </c>
      <c r="G8" s="20" t="n">
        <v>2</v>
      </c>
      <c r="H8" s="20" t="n">
        <v>2</v>
      </c>
    </row>
    <row r="9" customFormat="false" ht="15" hidden="false" customHeight="false" outlineLevel="0" collapsed="false">
      <c r="A9" s="11"/>
      <c r="B9" s="17" t="s">
        <v>34</v>
      </c>
      <c r="C9" s="18" t="n">
        <v>4</v>
      </c>
      <c r="D9" s="19" t="n">
        <v>3</v>
      </c>
      <c r="E9" s="20" t="n">
        <v>2</v>
      </c>
      <c r="F9" s="19" t="n">
        <v>3</v>
      </c>
      <c r="G9" s="19" t="n">
        <v>3</v>
      </c>
      <c r="H9" s="20" t="n">
        <v>2</v>
      </c>
    </row>
    <row r="10" customFormat="false" ht="15" hidden="false" customHeight="false" outlineLevel="0" collapsed="false">
      <c r="A10" s="16" t="s">
        <v>39</v>
      </c>
      <c r="B10" s="17" t="s">
        <v>40</v>
      </c>
      <c r="C10" s="18" t="n">
        <v>5</v>
      </c>
      <c r="D10" s="18" t="n">
        <v>5</v>
      </c>
      <c r="E10" s="18" t="n">
        <v>4</v>
      </c>
      <c r="F10" s="18" t="n">
        <v>5</v>
      </c>
      <c r="G10" s="18" t="n">
        <v>4</v>
      </c>
      <c r="H10" s="20" t="n">
        <v>2</v>
      </c>
    </row>
    <row r="11" customFormat="false" ht="15" hidden="false" customHeight="false" outlineLevel="0" collapsed="false">
      <c r="A11" s="11"/>
      <c r="B11" s="17" t="s">
        <v>45</v>
      </c>
      <c r="C11" s="19" t="n">
        <v>3</v>
      </c>
      <c r="D11" s="18" t="n">
        <v>4</v>
      </c>
      <c r="E11" s="19" t="n">
        <v>3</v>
      </c>
      <c r="F11" s="18" t="n">
        <v>4</v>
      </c>
      <c r="G11" s="19" t="n">
        <v>3</v>
      </c>
      <c r="H11" s="20" t="n">
        <v>1</v>
      </c>
    </row>
    <row r="12" customFormat="false" ht="15" hidden="false" customHeight="false" outlineLevel="0" collapsed="false">
      <c r="A12" s="11"/>
      <c r="B12" s="17" t="s">
        <v>50</v>
      </c>
      <c r="C12" s="19" t="n">
        <v>3</v>
      </c>
      <c r="D12" s="20" t="n">
        <v>2</v>
      </c>
      <c r="E12" s="20" t="n">
        <v>2</v>
      </c>
      <c r="F12" s="20" t="n">
        <v>2</v>
      </c>
      <c r="G12" s="19" t="n">
        <v>3</v>
      </c>
      <c r="H12" s="18" t="n">
        <v>4</v>
      </c>
    </row>
    <row r="13" customFormat="false" ht="15" hidden="false" customHeight="false" outlineLevel="0" collapsed="false">
      <c r="A13" s="11"/>
      <c r="B13" s="17" t="s">
        <v>55</v>
      </c>
      <c r="C13" s="19" t="n">
        <v>3</v>
      </c>
      <c r="D13" s="19" t="n">
        <v>3</v>
      </c>
      <c r="E13" s="20" t="n">
        <v>2</v>
      </c>
      <c r="F13" s="18" t="n">
        <v>4</v>
      </c>
      <c r="G13" s="20" t="n">
        <v>2</v>
      </c>
      <c r="H13" s="20" t="n">
        <v>1</v>
      </c>
    </row>
    <row r="14" customFormat="false" ht="15" hidden="false" customHeight="false" outlineLevel="0" collapsed="false">
      <c r="A14" s="11"/>
      <c r="B14" s="17" t="s">
        <v>60</v>
      </c>
      <c r="C14" s="19" t="n">
        <v>3</v>
      </c>
      <c r="D14" s="19" t="n">
        <v>3</v>
      </c>
      <c r="E14" s="20" t="n">
        <v>2</v>
      </c>
      <c r="F14" s="19" t="n">
        <v>3</v>
      </c>
      <c r="G14" s="19" t="n">
        <v>3</v>
      </c>
      <c r="H14" s="20" t="n">
        <v>2</v>
      </c>
    </row>
    <row r="15" customFormat="false" ht="15" hidden="false" customHeight="false" outlineLevel="0" collapsed="false">
      <c r="A15" s="16" t="s">
        <v>65</v>
      </c>
      <c r="B15" s="17" t="s">
        <v>66</v>
      </c>
      <c r="C15" s="19" t="n">
        <v>3</v>
      </c>
      <c r="D15" s="18" t="n">
        <v>4</v>
      </c>
      <c r="E15" s="19" t="n">
        <v>3</v>
      </c>
      <c r="F15" s="19" t="n">
        <v>3</v>
      </c>
      <c r="G15" s="19" t="n">
        <v>3</v>
      </c>
      <c r="H15" s="20" t="n">
        <v>2</v>
      </c>
    </row>
    <row r="16" customFormat="false" ht="15" hidden="false" customHeight="false" outlineLevel="0" collapsed="false">
      <c r="A16" s="11"/>
      <c r="B16" s="17" t="s">
        <v>71</v>
      </c>
      <c r="C16" s="19" t="n">
        <v>3</v>
      </c>
      <c r="D16" s="18" t="n">
        <v>4</v>
      </c>
      <c r="E16" s="18" t="n">
        <v>4</v>
      </c>
      <c r="F16" s="19" t="n">
        <v>3</v>
      </c>
      <c r="G16" s="19" t="n">
        <v>3</v>
      </c>
      <c r="H16" s="20" t="n">
        <v>1</v>
      </c>
    </row>
    <row r="17" customFormat="false" ht="15" hidden="false" customHeight="false" outlineLevel="0" collapsed="false">
      <c r="A17" s="11"/>
      <c r="B17" s="17" t="s">
        <v>76</v>
      </c>
      <c r="C17" s="20" t="n">
        <v>2</v>
      </c>
      <c r="D17" s="18" t="n">
        <v>4</v>
      </c>
      <c r="E17" s="18" t="n">
        <v>4</v>
      </c>
      <c r="F17" s="20" t="n">
        <v>2</v>
      </c>
      <c r="G17" s="19" t="n">
        <v>3</v>
      </c>
      <c r="H17" s="20" t="n">
        <v>1</v>
      </c>
    </row>
    <row r="18" customFormat="false" ht="15" hidden="false" customHeight="false" outlineLevel="0" collapsed="false">
      <c r="A18" s="11"/>
      <c r="B18" s="17" t="s">
        <v>81</v>
      </c>
      <c r="C18" s="19" t="n">
        <v>3</v>
      </c>
      <c r="D18" s="19" t="n">
        <v>3</v>
      </c>
      <c r="E18" s="18" t="n">
        <v>4</v>
      </c>
      <c r="F18" s="20" t="n">
        <v>2</v>
      </c>
      <c r="G18" s="20" t="n">
        <v>2</v>
      </c>
      <c r="H18" s="20" t="n">
        <v>1</v>
      </c>
    </row>
    <row r="19" customFormat="false" ht="15" hidden="false" customHeight="false" outlineLevel="0" collapsed="false">
      <c r="A19" s="11"/>
      <c r="B19" s="17" t="s">
        <v>86</v>
      </c>
      <c r="C19" s="19" t="n">
        <v>3</v>
      </c>
      <c r="D19" s="18" t="n">
        <v>4</v>
      </c>
      <c r="E19" s="18" t="n">
        <v>4</v>
      </c>
      <c r="F19" s="19" t="n">
        <v>3</v>
      </c>
      <c r="G19" s="19" t="n">
        <v>3</v>
      </c>
      <c r="H19" s="20" t="n">
        <v>2</v>
      </c>
    </row>
    <row r="20" customFormat="false" ht="15" hidden="false" customHeight="false" outlineLevel="0" collapsed="false">
      <c r="A20" s="16" t="s">
        <v>91</v>
      </c>
      <c r="B20" s="17" t="s">
        <v>92</v>
      </c>
      <c r="C20" s="19" t="n">
        <v>3</v>
      </c>
      <c r="D20" s="19" t="n">
        <v>3</v>
      </c>
      <c r="E20" s="18" t="n">
        <v>4</v>
      </c>
      <c r="F20" s="18" t="n">
        <v>4</v>
      </c>
      <c r="G20" s="20" t="n">
        <v>2</v>
      </c>
      <c r="H20" s="20" t="n">
        <v>1</v>
      </c>
    </row>
    <row r="21" customFormat="false" ht="15" hidden="false" customHeight="false" outlineLevel="0" collapsed="false">
      <c r="A21" s="11"/>
      <c r="B21" s="17" t="s">
        <v>97</v>
      </c>
      <c r="C21" s="20" t="n">
        <v>2</v>
      </c>
      <c r="D21" s="19" t="n">
        <v>3</v>
      </c>
      <c r="E21" s="18" t="n">
        <v>4</v>
      </c>
      <c r="F21" s="19" t="n">
        <v>3</v>
      </c>
      <c r="G21" s="20" t="n">
        <v>2</v>
      </c>
      <c r="H21" s="20" t="n">
        <v>1</v>
      </c>
    </row>
    <row r="22" customFormat="false" ht="15" hidden="false" customHeight="false" outlineLevel="0" collapsed="false">
      <c r="A22" s="11"/>
      <c r="B22" s="17" t="s">
        <v>102</v>
      </c>
      <c r="C22" s="20" t="n">
        <v>2</v>
      </c>
      <c r="D22" s="19" t="n">
        <v>3</v>
      </c>
      <c r="E22" s="19" t="n">
        <v>3</v>
      </c>
      <c r="F22" s="19" t="n">
        <v>3</v>
      </c>
      <c r="G22" s="20" t="n">
        <v>2</v>
      </c>
      <c r="H22" s="20" t="n">
        <v>2</v>
      </c>
    </row>
    <row r="23" customFormat="false" ht="15" hidden="false" customHeight="false" outlineLevel="0" collapsed="false">
      <c r="A23" s="11"/>
      <c r="B23" s="17" t="s">
        <v>107</v>
      </c>
      <c r="C23" s="19" t="n">
        <v>3</v>
      </c>
      <c r="D23" s="19" t="n">
        <v>3</v>
      </c>
      <c r="E23" s="18" t="n">
        <v>4</v>
      </c>
      <c r="F23" s="20" t="n">
        <v>2</v>
      </c>
      <c r="G23" s="20" t="n">
        <v>2</v>
      </c>
      <c r="H23" s="20" t="n">
        <v>1</v>
      </c>
    </row>
    <row r="24" customFormat="false" ht="15" hidden="false" customHeight="false" outlineLevel="0" collapsed="false">
      <c r="A24" s="16" t="s">
        <v>112</v>
      </c>
      <c r="B24" s="17" t="s">
        <v>113</v>
      </c>
      <c r="C24" s="20" t="n">
        <v>2</v>
      </c>
      <c r="D24" s="19" t="n">
        <v>3</v>
      </c>
      <c r="E24" s="18" t="n">
        <v>4</v>
      </c>
      <c r="F24" s="19" t="n">
        <v>3</v>
      </c>
      <c r="G24" s="19" t="n">
        <v>3</v>
      </c>
      <c r="H24" s="20" t="n">
        <v>2</v>
      </c>
    </row>
    <row r="25" customFormat="false" ht="15" hidden="false" customHeight="false" outlineLevel="0" collapsed="false">
      <c r="A25" s="11"/>
      <c r="B25" s="17" t="s">
        <v>118</v>
      </c>
      <c r="C25" s="18" t="n">
        <v>5</v>
      </c>
      <c r="D25" s="19" t="n">
        <v>3</v>
      </c>
      <c r="E25" s="19" t="n">
        <v>3</v>
      </c>
      <c r="F25" s="18" t="n">
        <v>4</v>
      </c>
      <c r="G25" s="19" t="n">
        <v>3</v>
      </c>
      <c r="H25" s="20" t="n">
        <v>1</v>
      </c>
    </row>
    <row r="26" customFormat="false" ht="15" hidden="false" customHeight="false" outlineLevel="0" collapsed="false">
      <c r="A26" s="11"/>
      <c r="B26" s="17" t="s">
        <v>123</v>
      </c>
      <c r="C26" s="20" t="n">
        <v>2</v>
      </c>
      <c r="D26" s="19" t="n">
        <v>3</v>
      </c>
      <c r="E26" s="18" t="n">
        <v>4</v>
      </c>
      <c r="F26" s="18" t="n">
        <v>5</v>
      </c>
      <c r="G26" s="20" t="n">
        <v>2</v>
      </c>
      <c r="H26" s="20" t="n">
        <v>1</v>
      </c>
    </row>
    <row r="27" customFormat="false" ht="15" hidden="false" customHeight="false" outlineLevel="0" collapsed="false">
      <c r="A27" s="11"/>
      <c r="B27" s="17" t="s">
        <v>128</v>
      </c>
      <c r="C27" s="18" t="n">
        <v>4</v>
      </c>
      <c r="D27" s="18" t="n">
        <v>4</v>
      </c>
      <c r="E27" s="18" t="n">
        <v>4</v>
      </c>
      <c r="F27" s="18" t="n">
        <v>5</v>
      </c>
      <c r="G27" s="19" t="n">
        <v>3</v>
      </c>
      <c r="H27" s="20" t="n">
        <v>2</v>
      </c>
    </row>
    <row r="28" customFormat="false" ht="15" hidden="false" customHeight="false" outlineLevel="0" collapsed="false">
      <c r="A28" s="11"/>
      <c r="B28" s="17" t="s">
        <v>133</v>
      </c>
      <c r="C28" s="20" t="n">
        <v>2</v>
      </c>
      <c r="D28" s="19" t="n">
        <v>3</v>
      </c>
      <c r="E28" s="19" t="n">
        <v>3</v>
      </c>
      <c r="F28" s="20" t="n">
        <v>2</v>
      </c>
      <c r="G28" s="20" t="n">
        <v>2</v>
      </c>
      <c r="H28" s="20" t="n">
        <v>1</v>
      </c>
    </row>
    <row r="29" customFormat="false" ht="15" hidden="false" customHeight="false" outlineLevel="0" collapsed="false">
      <c r="A29" s="16" t="s">
        <v>138</v>
      </c>
      <c r="B29" s="17" t="s">
        <v>139</v>
      </c>
      <c r="C29" s="20" t="n">
        <v>2</v>
      </c>
      <c r="D29" s="20" t="n">
        <v>2</v>
      </c>
      <c r="E29" s="20" t="n">
        <v>2</v>
      </c>
      <c r="F29" s="20" t="n">
        <v>2</v>
      </c>
      <c r="G29" s="20" t="n">
        <v>2</v>
      </c>
      <c r="H29" s="20" t="n">
        <v>1</v>
      </c>
    </row>
    <row r="30" customFormat="false" ht="15" hidden="false" customHeight="false" outlineLevel="0" collapsed="false">
      <c r="A30" s="11"/>
      <c r="B30" s="17" t="s">
        <v>144</v>
      </c>
      <c r="C30" s="19" t="n">
        <v>3</v>
      </c>
      <c r="D30" s="19" t="n">
        <v>3</v>
      </c>
      <c r="E30" s="19" t="n">
        <v>3</v>
      </c>
      <c r="F30" s="20" t="n">
        <v>2</v>
      </c>
      <c r="G30" s="20" t="n">
        <v>2</v>
      </c>
      <c r="H30" s="20" t="n">
        <v>1</v>
      </c>
    </row>
    <row r="31" customFormat="false" ht="15" hidden="false" customHeight="false" outlineLevel="0" collapsed="false">
      <c r="A31" s="11"/>
      <c r="B31" s="17" t="s">
        <v>149</v>
      </c>
      <c r="C31" s="20" t="n">
        <v>2</v>
      </c>
      <c r="D31" s="18" t="n">
        <v>4</v>
      </c>
      <c r="E31" s="18" t="n">
        <v>4</v>
      </c>
      <c r="F31" s="20" t="n">
        <v>2</v>
      </c>
      <c r="G31" s="20" t="n">
        <v>2</v>
      </c>
      <c r="H31" s="20" t="n">
        <v>1</v>
      </c>
    </row>
    <row r="32" customFormat="false" ht="15" hidden="false" customHeight="false" outlineLevel="0" collapsed="false">
      <c r="A32" s="16" t="s">
        <v>154</v>
      </c>
      <c r="B32" s="17" t="s">
        <v>155</v>
      </c>
      <c r="C32" s="19" t="n">
        <v>3</v>
      </c>
      <c r="D32" s="19" t="n">
        <v>3</v>
      </c>
      <c r="E32" s="19" t="n">
        <v>3</v>
      </c>
      <c r="F32" s="18" t="n">
        <v>4</v>
      </c>
      <c r="G32" s="19" t="n">
        <v>3</v>
      </c>
      <c r="H32" s="20" t="n">
        <v>2</v>
      </c>
    </row>
    <row r="33" customFormat="false" ht="15" hidden="false" customHeight="false" outlineLevel="0" collapsed="false">
      <c r="A33" s="11"/>
      <c r="B33" s="17" t="s">
        <v>160</v>
      </c>
      <c r="C33" s="18" t="n">
        <v>5</v>
      </c>
      <c r="D33" s="18" t="n">
        <v>5</v>
      </c>
      <c r="E33" s="18" t="n">
        <v>4</v>
      </c>
      <c r="F33" s="18" t="n">
        <v>5</v>
      </c>
      <c r="G33" s="18" t="n">
        <v>4</v>
      </c>
      <c r="H33" s="20" t="n">
        <v>2</v>
      </c>
    </row>
    <row r="34" customFormat="false" ht="15" hidden="false" customHeight="false" outlineLevel="0" collapsed="false">
      <c r="A34" s="11"/>
      <c r="B34" s="17" t="s">
        <v>165</v>
      </c>
      <c r="C34" s="18" t="n">
        <v>5</v>
      </c>
      <c r="D34" s="18" t="n">
        <v>5</v>
      </c>
      <c r="E34" s="19" t="n">
        <v>3</v>
      </c>
      <c r="F34" s="18" t="n">
        <v>5</v>
      </c>
      <c r="G34" s="18" t="n">
        <v>4</v>
      </c>
      <c r="H34" s="20" t="n">
        <v>2</v>
      </c>
    </row>
    <row r="35" customFormat="false" ht="15" hidden="false" customHeight="false" outlineLevel="0" collapsed="false">
      <c r="A35" s="11"/>
      <c r="B35" s="17" t="s">
        <v>170</v>
      </c>
      <c r="C35" s="18" t="n">
        <v>5</v>
      </c>
      <c r="D35" s="18" t="n">
        <v>4</v>
      </c>
      <c r="E35" s="18" t="n">
        <v>4</v>
      </c>
      <c r="F35" s="18" t="n">
        <v>4</v>
      </c>
      <c r="G35" s="18" t="n">
        <v>4</v>
      </c>
      <c r="H35" s="20" t="n">
        <v>1</v>
      </c>
    </row>
    <row r="36" customFormat="false" ht="15" hidden="false" customHeight="false" outlineLevel="0" collapsed="false">
      <c r="A36" s="16" t="s">
        <v>175</v>
      </c>
      <c r="B36" s="17" t="s">
        <v>176</v>
      </c>
      <c r="C36" s="19" t="n">
        <v>3</v>
      </c>
      <c r="D36" s="19" t="n">
        <v>3</v>
      </c>
      <c r="E36" s="20" t="n">
        <v>2</v>
      </c>
      <c r="F36" s="18" t="n">
        <v>4</v>
      </c>
      <c r="G36" s="18" t="n">
        <v>4</v>
      </c>
      <c r="H36" s="20" t="n">
        <v>1</v>
      </c>
    </row>
    <row r="37" customFormat="false" ht="15" hidden="false" customHeight="false" outlineLevel="0" collapsed="false">
      <c r="A37" s="11"/>
      <c r="B37" s="17" t="s">
        <v>181</v>
      </c>
      <c r="C37" s="18" t="n">
        <v>5</v>
      </c>
      <c r="D37" s="18" t="n">
        <v>4</v>
      </c>
      <c r="E37" s="19" t="n">
        <v>3</v>
      </c>
      <c r="F37" s="18" t="n">
        <v>4</v>
      </c>
      <c r="G37" s="19" t="n">
        <v>3</v>
      </c>
      <c r="H37" s="20" t="n">
        <v>1</v>
      </c>
    </row>
    <row r="38" customFormat="false" ht="15" hidden="false" customHeight="false" outlineLevel="0" collapsed="false">
      <c r="A38" s="11"/>
      <c r="B38" s="17" t="s">
        <v>186</v>
      </c>
      <c r="C38" s="18" t="n">
        <v>4</v>
      </c>
      <c r="D38" s="19" t="n">
        <v>3</v>
      </c>
      <c r="E38" s="19" t="n">
        <v>3</v>
      </c>
      <c r="F38" s="18" t="n">
        <v>4</v>
      </c>
      <c r="G38" s="19" t="n">
        <v>3</v>
      </c>
      <c r="H38" s="20" t="n">
        <v>1</v>
      </c>
    </row>
    <row r="39" customFormat="false" ht="15" hidden="false" customHeight="false" outlineLevel="0" collapsed="false">
      <c r="A39" s="11"/>
      <c r="B39" s="17" t="s">
        <v>191</v>
      </c>
      <c r="C39" s="18" t="n">
        <v>5</v>
      </c>
      <c r="D39" s="18" t="n">
        <v>4</v>
      </c>
      <c r="E39" s="19" t="n">
        <v>3</v>
      </c>
      <c r="F39" s="18" t="n">
        <v>5</v>
      </c>
      <c r="G39" s="19" t="n">
        <v>3</v>
      </c>
      <c r="H39" s="20" t="n">
        <v>1</v>
      </c>
    </row>
    <row r="40" customFormat="false" ht="15" hidden="false" customHeight="false" outlineLevel="0" collapsed="false">
      <c r="A40" s="16" t="s">
        <v>196</v>
      </c>
      <c r="B40" s="17" t="s">
        <v>197</v>
      </c>
      <c r="C40" s="20" t="n">
        <v>2</v>
      </c>
      <c r="D40" s="19" t="n">
        <v>3</v>
      </c>
      <c r="E40" s="19" t="n">
        <v>3</v>
      </c>
      <c r="F40" s="18" t="n">
        <v>4</v>
      </c>
      <c r="G40" s="20" t="n">
        <v>2</v>
      </c>
      <c r="H40" s="20" t="n">
        <v>1</v>
      </c>
    </row>
    <row r="41" customFormat="false" ht="15" hidden="false" customHeight="false" outlineLevel="0" collapsed="false">
      <c r="A41" s="11"/>
      <c r="B41" s="17" t="s">
        <v>202</v>
      </c>
      <c r="C41" s="18" t="n">
        <v>5</v>
      </c>
      <c r="D41" s="18" t="n">
        <v>5</v>
      </c>
      <c r="E41" s="18" t="n">
        <v>4</v>
      </c>
      <c r="F41" s="18" t="n">
        <v>5</v>
      </c>
      <c r="G41" s="18" t="n">
        <v>4</v>
      </c>
      <c r="H41" s="20" t="n">
        <v>2</v>
      </c>
    </row>
    <row r="42" customFormat="false" ht="15" hidden="false" customHeight="false" outlineLevel="0" collapsed="false">
      <c r="A42" s="11"/>
      <c r="B42" s="17" t="s">
        <v>207</v>
      </c>
      <c r="C42" s="19" t="n">
        <v>3</v>
      </c>
      <c r="D42" s="19" t="n">
        <v>3</v>
      </c>
      <c r="E42" s="19" t="n">
        <v>3</v>
      </c>
      <c r="F42" s="18" t="n">
        <v>4</v>
      </c>
      <c r="G42" s="19" t="n">
        <v>3</v>
      </c>
      <c r="H42" s="20" t="n">
        <v>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4" min="3" style="0" width="12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21" t="s">
        <v>226</v>
      </c>
      <c r="B1" s="21"/>
      <c r="C1" s="21"/>
      <c r="D1" s="21"/>
      <c r="E1" s="21"/>
    </row>
    <row r="2" customFormat="false" ht="15" hidden="false" customHeight="false" outlineLevel="0" collapsed="false">
      <c r="D2" s="0" t="s">
        <v>227</v>
      </c>
      <c r="E2" s="22" t="n">
        <v>100</v>
      </c>
    </row>
    <row r="3" customFormat="false" ht="15" hidden="false" customHeight="false" outlineLevel="0" collapsed="false">
      <c r="A3" s="3" t="s">
        <v>228</v>
      </c>
      <c r="B3" s="3" t="s">
        <v>229</v>
      </c>
      <c r="C3" s="3" t="s">
        <v>230</v>
      </c>
      <c r="D3" s="3" t="s">
        <v>231</v>
      </c>
      <c r="E3" s="3" t="s">
        <v>232</v>
      </c>
    </row>
    <row r="4" customFormat="false" ht="15" hidden="false" customHeight="false" outlineLevel="0" collapsed="false">
      <c r="A4" s="16" t="s">
        <v>233</v>
      </c>
      <c r="B4" s="17" t="s">
        <v>234</v>
      </c>
      <c r="C4" s="23" t="n">
        <v>0.05</v>
      </c>
      <c r="D4" s="7" t="n">
        <f aca="false">ROUND($E$2*C4,1)</f>
        <v>5</v>
      </c>
      <c r="E4" s="11"/>
    </row>
    <row r="5" customFormat="false" ht="15" hidden="false" customHeight="false" outlineLevel="0" collapsed="false">
      <c r="A5" s="11"/>
      <c r="B5" s="17" t="s">
        <v>235</v>
      </c>
      <c r="C5" s="23" t="n">
        <v>0.04</v>
      </c>
      <c r="D5" s="7" t="n">
        <f aca="false">ROUND($E$2*C5,1)</f>
        <v>4</v>
      </c>
      <c r="E5" s="11"/>
    </row>
    <row r="6" customFormat="false" ht="15" hidden="false" customHeight="false" outlineLevel="0" collapsed="false">
      <c r="A6" s="11"/>
      <c r="B6" s="17" t="s">
        <v>236</v>
      </c>
      <c r="C6" s="23" t="n">
        <v>0.04</v>
      </c>
      <c r="D6" s="7" t="n">
        <f aca="false">ROUND($E$2*C6,1)</f>
        <v>4</v>
      </c>
      <c r="E6" s="11"/>
    </row>
    <row r="7" customFormat="false" ht="15" hidden="false" customHeight="false" outlineLevel="0" collapsed="false">
      <c r="A7" s="11"/>
      <c r="B7" s="17" t="s">
        <v>237</v>
      </c>
      <c r="C7" s="23" t="n">
        <v>0.03</v>
      </c>
      <c r="D7" s="7" t="n">
        <f aca="false">ROUND($E$2*C7,1)</f>
        <v>3</v>
      </c>
      <c r="E7" s="11"/>
    </row>
    <row r="8" customFormat="false" ht="15" hidden="false" customHeight="false" outlineLevel="0" collapsed="false">
      <c r="A8" s="11"/>
      <c r="B8" s="17" t="s">
        <v>238</v>
      </c>
      <c r="C8" s="23" t="n">
        <v>0.02</v>
      </c>
      <c r="D8" s="7" t="n">
        <f aca="false">ROUND($E$2*C8,1)</f>
        <v>2</v>
      </c>
      <c r="E8" s="11"/>
    </row>
    <row r="9" customFormat="false" ht="15" hidden="false" customHeight="false" outlineLevel="0" collapsed="false">
      <c r="A9" s="16" t="s">
        <v>239</v>
      </c>
      <c r="B9" s="17" t="s">
        <v>240</v>
      </c>
      <c r="C9" s="23" t="n">
        <v>0.08</v>
      </c>
      <c r="D9" s="7" t="n">
        <f aca="false">ROUND($E$2*C9,1)</f>
        <v>8</v>
      </c>
      <c r="E9" s="11"/>
    </row>
    <row r="10" customFormat="false" ht="15" hidden="false" customHeight="false" outlineLevel="0" collapsed="false">
      <c r="A10" s="11"/>
      <c r="B10" s="17" t="s">
        <v>241</v>
      </c>
      <c r="C10" s="23" t="n">
        <v>0.03</v>
      </c>
      <c r="D10" s="7" t="n">
        <f aca="false">ROUND($E$2*C10,1)</f>
        <v>3</v>
      </c>
      <c r="E10" s="11"/>
    </row>
    <row r="11" customFormat="false" ht="15" hidden="false" customHeight="false" outlineLevel="0" collapsed="false">
      <c r="A11" s="11"/>
      <c r="B11" s="17" t="s">
        <v>242</v>
      </c>
      <c r="C11" s="23" t="n">
        <v>0.06</v>
      </c>
      <c r="D11" s="7" t="n">
        <f aca="false">ROUND($E$2*C11,1)</f>
        <v>6</v>
      </c>
      <c r="E11" s="11"/>
    </row>
    <row r="12" customFormat="false" ht="15" hidden="false" customHeight="false" outlineLevel="0" collapsed="false">
      <c r="A12" s="11"/>
      <c r="B12" s="17" t="s">
        <v>243</v>
      </c>
      <c r="C12" s="23" t="n">
        <v>0.04</v>
      </c>
      <c r="D12" s="7" t="n">
        <f aca="false">ROUND($E$2*C12,1)</f>
        <v>4</v>
      </c>
      <c r="E12" s="11"/>
    </row>
    <row r="13" customFormat="false" ht="15" hidden="false" customHeight="false" outlineLevel="0" collapsed="false">
      <c r="A13" s="11"/>
      <c r="B13" s="17" t="s">
        <v>244</v>
      </c>
      <c r="C13" s="23" t="n">
        <v>0.03</v>
      </c>
      <c r="D13" s="7" t="n">
        <f aca="false">ROUND($E$2*C13,1)</f>
        <v>3</v>
      </c>
      <c r="E13" s="11"/>
    </row>
    <row r="14" customFormat="false" ht="15" hidden="false" customHeight="false" outlineLevel="0" collapsed="false">
      <c r="A14" s="11"/>
      <c r="B14" s="17" t="s">
        <v>245</v>
      </c>
      <c r="C14" s="23" t="n">
        <v>0.03</v>
      </c>
      <c r="D14" s="7" t="n">
        <f aca="false">ROUND($E$2*C14,1)</f>
        <v>3</v>
      </c>
      <c r="E14" s="11"/>
    </row>
    <row r="15" customFormat="false" ht="15" hidden="false" customHeight="false" outlineLevel="0" collapsed="false">
      <c r="A15" s="16" t="s">
        <v>246</v>
      </c>
      <c r="B15" s="17" t="s">
        <v>247</v>
      </c>
      <c r="C15" s="23" t="n">
        <v>0.06</v>
      </c>
      <c r="D15" s="7" t="n">
        <f aca="false">ROUND($E$2*C15,1)</f>
        <v>6</v>
      </c>
      <c r="E15" s="11"/>
    </row>
    <row r="16" customFormat="false" ht="15" hidden="false" customHeight="false" outlineLevel="0" collapsed="false">
      <c r="A16" s="11"/>
      <c r="B16" s="17" t="s">
        <v>248</v>
      </c>
      <c r="C16" s="23" t="n">
        <v>0.04</v>
      </c>
      <c r="D16" s="7" t="n">
        <f aca="false">ROUND($E$2*C16,1)</f>
        <v>4</v>
      </c>
      <c r="E16" s="11"/>
    </row>
    <row r="17" customFormat="false" ht="15" hidden="false" customHeight="false" outlineLevel="0" collapsed="false">
      <c r="A17" s="11"/>
      <c r="B17" s="17" t="s">
        <v>249</v>
      </c>
      <c r="C17" s="23" t="n">
        <v>0.04</v>
      </c>
      <c r="D17" s="7" t="n">
        <f aca="false">ROUND($E$2*C17,1)</f>
        <v>4</v>
      </c>
      <c r="E17" s="11"/>
    </row>
    <row r="18" customFormat="false" ht="15" hidden="false" customHeight="false" outlineLevel="0" collapsed="false">
      <c r="A18" s="16" t="s">
        <v>250</v>
      </c>
      <c r="B18" s="17" t="s">
        <v>251</v>
      </c>
      <c r="C18" s="23" t="n">
        <v>0.08</v>
      </c>
      <c r="D18" s="7" t="n">
        <f aca="false">ROUND($E$2*C18,1)</f>
        <v>8</v>
      </c>
      <c r="E18" s="11"/>
    </row>
    <row r="19" customFormat="false" ht="15" hidden="false" customHeight="false" outlineLevel="0" collapsed="false">
      <c r="A19" s="11"/>
      <c r="B19" s="17" t="s">
        <v>252</v>
      </c>
      <c r="C19" s="23" t="n">
        <v>0.08</v>
      </c>
      <c r="D19" s="7" t="n">
        <f aca="false">ROUND($E$2*C19,1)</f>
        <v>8</v>
      </c>
      <c r="E19" s="11"/>
    </row>
    <row r="20" customFormat="false" ht="15" hidden="false" customHeight="false" outlineLevel="0" collapsed="false">
      <c r="A20" s="11"/>
      <c r="B20" s="17" t="s">
        <v>253</v>
      </c>
      <c r="C20" s="23" t="n">
        <v>0.04</v>
      </c>
      <c r="D20" s="7" t="n">
        <f aca="false">ROUND($E$2*C20,1)</f>
        <v>4</v>
      </c>
      <c r="E20" s="11"/>
    </row>
    <row r="21" customFormat="false" ht="15" hidden="false" customHeight="false" outlineLevel="0" collapsed="false">
      <c r="A21" s="11"/>
      <c r="B21" s="17" t="s">
        <v>254</v>
      </c>
      <c r="C21" s="23" t="n">
        <v>0.06</v>
      </c>
      <c r="D21" s="7" t="n">
        <f aca="false">ROUND($E$2*C21,1)</f>
        <v>6</v>
      </c>
      <c r="E21" s="11"/>
    </row>
    <row r="22" customFormat="false" ht="15" hidden="false" customHeight="false" outlineLevel="0" collapsed="false">
      <c r="A22" s="16" t="s">
        <v>255</v>
      </c>
      <c r="B22" s="17" t="s">
        <v>256</v>
      </c>
      <c r="C22" s="23" t="n">
        <v>0.04</v>
      </c>
      <c r="D22" s="7" t="n">
        <f aca="false">ROUND($E$2*C22,1)</f>
        <v>4</v>
      </c>
      <c r="E22" s="11"/>
    </row>
    <row r="23" customFormat="false" ht="15" hidden="false" customHeight="false" outlineLevel="0" collapsed="false">
      <c r="A23" s="11"/>
      <c r="B23" s="17" t="s">
        <v>257</v>
      </c>
      <c r="C23" s="23" t="n">
        <v>0.03</v>
      </c>
      <c r="D23" s="7" t="n">
        <f aca="false">ROUND($E$2*C23,1)</f>
        <v>3</v>
      </c>
      <c r="E23" s="11"/>
    </row>
    <row r="24" customFormat="false" ht="15" hidden="false" customHeight="false" outlineLevel="0" collapsed="false">
      <c r="A24" s="11"/>
      <c r="B24" s="17" t="s">
        <v>258</v>
      </c>
      <c r="C24" s="23" t="n">
        <v>0.02</v>
      </c>
      <c r="D24" s="7" t="n">
        <f aca="false">ROUND($E$2*C24,1)</f>
        <v>2</v>
      </c>
      <c r="E24" s="11"/>
    </row>
    <row r="25" customFormat="false" ht="15" hidden="false" customHeight="false" outlineLevel="0" collapsed="false">
      <c r="A25" s="16" t="s">
        <v>259</v>
      </c>
      <c r="B25" s="17" t="s">
        <v>260</v>
      </c>
      <c r="C25" s="23" t="n">
        <v>0.03</v>
      </c>
      <c r="D25" s="7" t="n">
        <f aca="false">ROUND($E$2*C25,1)</f>
        <v>3</v>
      </c>
      <c r="E25" s="11"/>
    </row>
    <row r="26" customFormat="false" ht="15" hidden="false" customHeight="false" outlineLevel="0" collapsed="false">
      <c r="A26" s="11"/>
      <c r="B26" s="17" t="s">
        <v>261</v>
      </c>
      <c r="C26" s="23" t="n">
        <v>0.02</v>
      </c>
      <c r="D26" s="7" t="n">
        <f aca="false">ROUND($E$2*C26,1)</f>
        <v>2</v>
      </c>
      <c r="E26" s="11"/>
    </row>
    <row r="27" customFormat="false" ht="15" hidden="false" customHeight="false" outlineLevel="0" collapsed="false">
      <c r="A27" s="11"/>
      <c r="B27" s="17" t="s">
        <v>262</v>
      </c>
      <c r="C27" s="23" t="n">
        <v>0.01</v>
      </c>
      <c r="D27" s="7" t="n">
        <f aca="false">ROUND($E$2*C27,1)</f>
        <v>1</v>
      </c>
      <c r="E27" s="11"/>
    </row>
    <row r="28" customFormat="false" ht="15" hidden="false" customHeight="false" outlineLevel="0" collapsed="false">
      <c r="B28" s="12" t="s">
        <v>263</v>
      </c>
      <c r="C28" s="24" t="n">
        <f aca="false">SUM(C4:C27)</f>
        <v>1</v>
      </c>
      <c r="D28" s="12" t="n">
        <f aca="false">SUM(D4:D27)</f>
        <v>100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21" t="s">
        <v>264</v>
      </c>
      <c r="B1" s="21"/>
      <c r="C1" s="21"/>
      <c r="D1" s="21"/>
      <c r="E1" s="21"/>
      <c r="F1" s="21"/>
      <c r="G1" s="21"/>
    </row>
    <row r="2" customFormat="false" ht="15" hidden="false" customHeight="false" outlineLevel="0" collapsed="false">
      <c r="A2" s="25" t="s">
        <v>265</v>
      </c>
    </row>
    <row r="5" customFormat="false" ht="15" hidden="false" customHeight="false" outlineLevel="0" collapsed="false">
      <c r="A5" s="26" t="s">
        <v>266</v>
      </c>
    </row>
    <row r="7" customFormat="false" ht="15" hidden="false" customHeight="false" outlineLevel="0" collapsed="false">
      <c r="A7" s="27" t="s">
        <v>267</v>
      </c>
      <c r="B7" s="28" t="s">
        <v>268</v>
      </c>
      <c r="C7" s="28"/>
      <c r="D7" s="28"/>
      <c r="E7" s="28"/>
      <c r="F7" s="28"/>
      <c r="G7" s="28"/>
    </row>
    <row r="8" customFormat="false" ht="15" hidden="false" customHeight="false" outlineLevel="0" collapsed="false">
      <c r="A8" s="27" t="s">
        <v>269</v>
      </c>
      <c r="B8" s="28" t="s">
        <v>270</v>
      </c>
      <c r="C8" s="28"/>
      <c r="D8" s="28"/>
      <c r="E8" s="28"/>
      <c r="F8" s="28"/>
      <c r="G8" s="28"/>
    </row>
    <row r="9" customFormat="false" ht="15" hidden="false" customHeight="false" outlineLevel="0" collapsed="false">
      <c r="A9" s="27" t="s">
        <v>271</v>
      </c>
      <c r="B9" s="28" t="s">
        <v>272</v>
      </c>
      <c r="C9" s="28"/>
      <c r="D9" s="28"/>
      <c r="E9" s="28"/>
      <c r="F9" s="28"/>
      <c r="G9" s="28"/>
    </row>
    <row r="10" customFormat="false" ht="15" hidden="false" customHeight="false" outlineLevel="0" collapsed="false">
      <c r="A10" s="27" t="s">
        <v>273</v>
      </c>
      <c r="B10" s="28" t="s">
        <v>274</v>
      </c>
      <c r="C10" s="28"/>
      <c r="D10" s="28"/>
      <c r="E10" s="28"/>
      <c r="F10" s="28"/>
      <c r="G10" s="28"/>
    </row>
    <row r="13" customFormat="false" ht="15" hidden="false" customHeight="false" outlineLevel="0" collapsed="false">
      <c r="A13" s="26" t="s">
        <v>275</v>
      </c>
    </row>
    <row r="15" customFormat="false" ht="15" hidden="false" customHeight="false" outlineLevel="0" collapsed="false">
      <c r="A15" s="27" t="s">
        <v>13</v>
      </c>
      <c r="B15" s="28" t="s">
        <v>276</v>
      </c>
      <c r="C15" s="28"/>
      <c r="D15" s="28"/>
      <c r="E15" s="28"/>
      <c r="F15" s="28"/>
      <c r="G15" s="28"/>
    </row>
    <row r="16" customFormat="false" ht="15" hidden="false" customHeight="false" outlineLevel="0" collapsed="false">
      <c r="A16" s="27" t="s">
        <v>39</v>
      </c>
      <c r="B16" s="28" t="s">
        <v>277</v>
      </c>
      <c r="C16" s="28"/>
      <c r="D16" s="28"/>
      <c r="E16" s="28"/>
      <c r="F16" s="28"/>
      <c r="G16" s="28"/>
    </row>
    <row r="17" customFormat="false" ht="15" hidden="false" customHeight="false" outlineLevel="0" collapsed="false">
      <c r="A17" s="27" t="s">
        <v>65</v>
      </c>
      <c r="B17" s="28" t="s">
        <v>278</v>
      </c>
      <c r="C17" s="28"/>
      <c r="D17" s="28"/>
      <c r="E17" s="28"/>
      <c r="F17" s="28"/>
      <c r="G17" s="28"/>
    </row>
    <row r="18" customFormat="false" ht="15" hidden="false" customHeight="false" outlineLevel="0" collapsed="false">
      <c r="A18" s="27" t="s">
        <v>91</v>
      </c>
      <c r="B18" s="28" t="s">
        <v>279</v>
      </c>
      <c r="C18" s="28"/>
      <c r="D18" s="28"/>
      <c r="E18" s="28"/>
      <c r="F18" s="28"/>
      <c r="G18" s="28"/>
    </row>
    <row r="19" customFormat="false" ht="15" hidden="false" customHeight="false" outlineLevel="0" collapsed="false">
      <c r="A19" s="27" t="s">
        <v>112</v>
      </c>
      <c r="B19" s="28" t="s">
        <v>280</v>
      </c>
      <c r="C19" s="28"/>
      <c r="D19" s="28"/>
      <c r="E19" s="28"/>
      <c r="F19" s="28"/>
      <c r="G19" s="28"/>
    </row>
    <row r="20" customFormat="false" ht="15" hidden="false" customHeight="false" outlineLevel="0" collapsed="false">
      <c r="A20" s="27" t="s">
        <v>138</v>
      </c>
      <c r="B20" s="28" t="s">
        <v>281</v>
      </c>
      <c r="C20" s="28"/>
      <c r="D20" s="28"/>
      <c r="E20" s="28"/>
      <c r="F20" s="28"/>
      <c r="G20" s="28"/>
    </row>
    <row r="21" customFormat="false" ht="15" hidden="false" customHeight="false" outlineLevel="0" collapsed="false">
      <c r="A21" s="27" t="s">
        <v>154</v>
      </c>
      <c r="B21" s="28" t="s">
        <v>282</v>
      </c>
      <c r="C21" s="28"/>
      <c r="D21" s="28"/>
      <c r="E21" s="28"/>
      <c r="F21" s="28"/>
      <c r="G21" s="28"/>
    </row>
    <row r="22" customFormat="false" ht="15" hidden="false" customHeight="false" outlineLevel="0" collapsed="false">
      <c r="A22" s="27" t="s">
        <v>175</v>
      </c>
      <c r="B22" s="28" t="s">
        <v>283</v>
      </c>
      <c r="C22" s="28"/>
      <c r="D22" s="28"/>
      <c r="E22" s="28"/>
      <c r="F22" s="28"/>
      <c r="G22" s="28"/>
    </row>
    <row r="23" customFormat="false" ht="15" hidden="false" customHeight="false" outlineLevel="0" collapsed="false">
      <c r="A23" s="27" t="s">
        <v>196</v>
      </c>
      <c r="B23" s="28" t="s">
        <v>284</v>
      </c>
      <c r="C23" s="28"/>
      <c r="D23" s="28"/>
      <c r="E23" s="28"/>
      <c r="F23" s="28"/>
      <c r="G23" s="28"/>
    </row>
    <row r="26" customFormat="false" ht="15" hidden="false" customHeight="false" outlineLevel="0" collapsed="false">
      <c r="A26" s="26" t="s">
        <v>285</v>
      </c>
    </row>
    <row r="28" customFormat="false" ht="15" hidden="false" customHeight="false" outlineLevel="0" collapsed="false">
      <c r="A28" s="28" t="s">
        <v>286</v>
      </c>
      <c r="B28" s="28"/>
      <c r="C28" s="28"/>
      <c r="D28" s="28"/>
      <c r="E28" s="28"/>
      <c r="F28" s="28"/>
      <c r="G28" s="28"/>
    </row>
    <row r="29" customFormat="false" ht="15" hidden="false" customHeight="false" outlineLevel="0" collapsed="false">
      <c r="A29" s="28" t="s">
        <v>287</v>
      </c>
      <c r="B29" s="28"/>
      <c r="C29" s="28"/>
      <c r="D29" s="28"/>
      <c r="E29" s="28"/>
      <c r="F29" s="28"/>
      <c r="G29" s="28"/>
    </row>
    <row r="30" customFormat="false" ht="15" hidden="false" customHeight="false" outlineLevel="0" collapsed="false">
      <c r="A30" s="28" t="s">
        <v>288</v>
      </c>
      <c r="B30" s="28"/>
      <c r="C30" s="28"/>
      <c r="D30" s="28"/>
      <c r="E30" s="28"/>
      <c r="F30" s="28"/>
      <c r="G30" s="28"/>
    </row>
    <row r="31" customFormat="false" ht="15" hidden="false" customHeight="false" outlineLevel="0" collapsed="false">
      <c r="A31" s="28" t="s">
        <v>289</v>
      </c>
      <c r="B31" s="28"/>
      <c r="C31" s="28"/>
      <c r="D31" s="28"/>
      <c r="E31" s="28"/>
      <c r="F31" s="28"/>
      <c r="G31" s="28"/>
    </row>
    <row r="32" customFormat="false" ht="15" hidden="false" customHeight="false" outlineLevel="0" collapsed="false">
      <c r="A32" s="28" t="s">
        <v>290</v>
      </c>
      <c r="B32" s="28"/>
      <c r="C32" s="28"/>
      <c r="D32" s="28"/>
      <c r="E32" s="28"/>
      <c r="F32" s="28"/>
      <c r="G32" s="28"/>
    </row>
    <row r="35" customFormat="false" ht="15" hidden="false" customHeight="false" outlineLevel="0" collapsed="false">
      <c r="A35" s="26" t="s">
        <v>291</v>
      </c>
    </row>
    <row r="37" customFormat="false" ht="15" hidden="false" customHeight="false" outlineLevel="0" collapsed="false">
      <c r="A37" s="28" t="s">
        <v>292</v>
      </c>
      <c r="B37" s="28"/>
      <c r="C37" s="28"/>
      <c r="D37" s="28"/>
      <c r="E37" s="28"/>
      <c r="F37" s="28"/>
      <c r="G37" s="28"/>
    </row>
    <row r="38" customFormat="false" ht="15" hidden="false" customHeight="false" outlineLevel="0" collapsed="false">
      <c r="A38" s="28" t="s">
        <v>293</v>
      </c>
      <c r="B38" s="28"/>
      <c r="C38" s="28"/>
      <c r="D38" s="28"/>
      <c r="E38" s="28"/>
      <c r="F38" s="28"/>
      <c r="G38" s="28"/>
    </row>
    <row r="39" customFormat="false" ht="15" hidden="false" customHeight="false" outlineLevel="0" collapsed="false">
      <c r="A39" s="28" t="s">
        <v>294</v>
      </c>
      <c r="B39" s="28"/>
      <c r="C39" s="28"/>
      <c r="D39" s="28"/>
      <c r="E39" s="28"/>
      <c r="F39" s="28"/>
      <c r="G39" s="28"/>
    </row>
    <row r="40" customFormat="false" ht="15" hidden="false" customHeight="false" outlineLevel="0" collapsed="false">
      <c r="A40" s="28" t="s">
        <v>295</v>
      </c>
      <c r="B40" s="28"/>
      <c r="C40" s="28"/>
      <c r="D40" s="28"/>
      <c r="E40" s="28"/>
      <c r="F40" s="28"/>
      <c r="G40" s="28"/>
    </row>
    <row r="41" customFormat="false" ht="15" hidden="false" customHeight="false" outlineLevel="0" collapsed="false">
      <c r="A41" s="28" t="s">
        <v>296</v>
      </c>
      <c r="B41" s="28"/>
      <c r="C41" s="28"/>
      <c r="D41" s="28"/>
      <c r="E41" s="28"/>
      <c r="F41" s="28"/>
      <c r="G41" s="28"/>
    </row>
    <row r="42" customFormat="false" ht="15" hidden="false" customHeight="false" outlineLevel="0" collapsed="false">
      <c r="A42" s="28" t="s">
        <v>297</v>
      </c>
      <c r="B42" s="28"/>
      <c r="C42" s="28"/>
      <c r="D42" s="28"/>
      <c r="E42" s="28"/>
      <c r="F42" s="28"/>
      <c r="G42" s="28"/>
    </row>
    <row r="43" customFormat="false" ht="15" hidden="false" customHeight="false" outlineLevel="0" collapsed="false">
      <c r="A43" s="28" t="s">
        <v>298</v>
      </c>
      <c r="B43" s="28"/>
      <c r="C43" s="28"/>
      <c r="D43" s="28"/>
      <c r="E43" s="28"/>
      <c r="F43" s="28"/>
      <c r="G43" s="28"/>
    </row>
    <row r="44" customFormat="false" ht="15" hidden="false" customHeight="false" outlineLevel="0" collapsed="false">
      <c r="A44" s="28" t="s">
        <v>299</v>
      </c>
      <c r="B44" s="28"/>
      <c r="C44" s="28"/>
      <c r="D44" s="28"/>
      <c r="E44" s="28"/>
      <c r="F44" s="28"/>
      <c r="G44" s="28"/>
    </row>
  </sheetData>
  <mergeCells count="27">
    <mergeCell ref="A1:G1"/>
    <mergeCell ref="B7:G7"/>
    <mergeCell ref="B8:G8"/>
    <mergeCell ref="B9:G9"/>
    <mergeCell ref="B10:G10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A28:G28"/>
    <mergeCell ref="A29:G29"/>
    <mergeCell ref="A30:G30"/>
    <mergeCell ref="A31:G31"/>
    <mergeCell ref="A32:G32"/>
    <mergeCell ref="A37:G37"/>
    <mergeCell ref="A38:G38"/>
    <mergeCell ref="A39:G39"/>
    <mergeCell ref="A40:G40"/>
    <mergeCell ref="A41:G41"/>
    <mergeCell ref="A42:G42"/>
    <mergeCell ref="A43:G43"/>
    <mergeCell ref="A44:G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2026-01-27T04:29:04Z</dcterms:created>
  <dc:creator>openpyxl</dc:creator>
  <dc:description/>
  <dc:language>en-US</dc:language>
  <cp:lastModifiedBy/>
  <dcterms:modified xsi:type="dcterms:W3CDTF">2026-01-27T04:29:04Z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